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1C3BCAF3-313F-4BC9-80F8-EDEF9C1FD85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ransactions" sheetId="2" r:id="rId1"/>
    <sheet name="Customer_Lookup" sheetId="3" r:id="rId2"/>
    <sheet name="Product_Lookup" sheetId="4" r:id="rId3"/>
    <sheet name="Formula_Demo" sheetId="5" r:id="rId4"/>
    <sheet name="Summary" sheetId="6" r:id="rId5"/>
    <sheet name="Validation" sheetId="8" r:id="rId6"/>
  </sheets>
  <definedNames>
    <definedName name="CustomerIDs">Customer_Lookup!$A$2:$A$17</definedName>
    <definedName name="CustomerNames">Customer_Lookup!$B$2:$B$17</definedName>
    <definedName name="PracticeCategory">Transactions!$M$2:$M$31</definedName>
    <definedName name="PracticeProfit">Transactions!$S$2:$S$31</definedName>
    <definedName name="PracticeRegion">Transactions!$K$2:$K$31</definedName>
    <definedName name="PracticeSales">Transactions!$P$2:$P$31</definedName>
    <definedName name="ProductCategories">Product_Lookup!$C$2:$C$31</definedName>
    <definedName name="ProductIDs">Product_Lookup!$A$2:$A$31</definedName>
  </definedNames>
  <calcPr calcId="191029" forceFullCalc="1"/>
</workbook>
</file>

<file path=xl/calcChain.xml><?xml version="1.0" encoding="utf-8"?>
<calcChain xmlns="http://schemas.openxmlformats.org/spreadsheetml/2006/main">
  <c r="C5" i="5" l="1"/>
  <c r="C4" i="5"/>
  <c r="E7" i="8"/>
  <c r="E6" i="8"/>
  <c r="E5" i="8"/>
  <c r="E4" i="8"/>
  <c r="C11" i="6"/>
  <c r="C10" i="6"/>
  <c r="C8" i="6"/>
  <c r="C7" i="6"/>
  <c r="C6" i="6"/>
  <c r="C5" i="6"/>
  <c r="C4" i="6"/>
  <c r="C17" i="5"/>
  <c r="C16" i="5"/>
  <c r="C15" i="5"/>
  <c r="C14" i="5"/>
  <c r="C13" i="5"/>
  <c r="C12" i="5"/>
  <c r="C11" i="5"/>
  <c r="C10" i="5"/>
  <c r="C9" i="5"/>
  <c r="C8" i="5"/>
  <c r="C7" i="5"/>
  <c r="C6" i="5"/>
  <c r="AC31" i="2"/>
  <c r="AB31" i="2"/>
  <c r="AA31" i="2"/>
  <c r="Z31" i="2"/>
  <c r="Y31" i="2"/>
  <c r="X31" i="2"/>
  <c r="W31" i="2"/>
  <c r="V31" i="2"/>
  <c r="U31" i="2"/>
  <c r="T31" i="2"/>
  <c r="AC30" i="2"/>
  <c r="AB30" i="2"/>
  <c r="AA30" i="2"/>
  <c r="Z30" i="2"/>
  <c r="Y30" i="2"/>
  <c r="X30" i="2"/>
  <c r="W30" i="2"/>
  <c r="V30" i="2"/>
  <c r="U30" i="2"/>
  <c r="T30" i="2"/>
  <c r="AC29" i="2"/>
  <c r="AB29" i="2"/>
  <c r="AA29" i="2"/>
  <c r="Z29" i="2"/>
  <c r="Y29" i="2"/>
  <c r="X29" i="2"/>
  <c r="W29" i="2"/>
  <c r="V29" i="2"/>
  <c r="U29" i="2"/>
  <c r="T29" i="2"/>
  <c r="AC28" i="2"/>
  <c r="AB28" i="2"/>
  <c r="AA28" i="2"/>
  <c r="Z28" i="2"/>
  <c r="Y28" i="2"/>
  <c r="X28" i="2"/>
  <c r="W28" i="2"/>
  <c r="V28" i="2"/>
  <c r="U28" i="2"/>
  <c r="T28" i="2"/>
  <c r="AC27" i="2"/>
  <c r="AB27" i="2"/>
  <c r="AA27" i="2"/>
  <c r="Z27" i="2"/>
  <c r="Y27" i="2"/>
  <c r="X27" i="2"/>
  <c r="W27" i="2"/>
  <c r="V27" i="2"/>
  <c r="U27" i="2"/>
  <c r="T27" i="2"/>
  <c r="AC26" i="2"/>
  <c r="AB26" i="2"/>
  <c r="AA26" i="2"/>
  <c r="Z26" i="2"/>
  <c r="Y26" i="2"/>
  <c r="X26" i="2"/>
  <c r="W26" i="2"/>
  <c r="V26" i="2"/>
  <c r="U26" i="2"/>
  <c r="T26" i="2"/>
  <c r="AC25" i="2"/>
  <c r="AB25" i="2"/>
  <c r="AA25" i="2"/>
  <c r="Z25" i="2"/>
  <c r="Y25" i="2"/>
  <c r="X25" i="2"/>
  <c r="W25" i="2"/>
  <c r="V25" i="2"/>
  <c r="U25" i="2"/>
  <c r="T25" i="2"/>
  <c r="AC24" i="2"/>
  <c r="AB24" i="2"/>
  <c r="AA24" i="2"/>
  <c r="Z24" i="2"/>
  <c r="Y24" i="2"/>
  <c r="X24" i="2"/>
  <c r="W24" i="2"/>
  <c r="V24" i="2"/>
  <c r="U24" i="2"/>
  <c r="T24" i="2"/>
  <c r="AC23" i="2"/>
  <c r="AB23" i="2"/>
  <c r="AA23" i="2"/>
  <c r="Z23" i="2"/>
  <c r="Y23" i="2"/>
  <c r="X23" i="2"/>
  <c r="W23" i="2"/>
  <c r="V23" i="2"/>
  <c r="U23" i="2"/>
  <c r="T23" i="2"/>
  <c r="AC22" i="2"/>
  <c r="AB22" i="2"/>
  <c r="AA22" i="2"/>
  <c r="Z22" i="2"/>
  <c r="Y22" i="2"/>
  <c r="X22" i="2"/>
  <c r="W22" i="2"/>
  <c r="V22" i="2"/>
  <c r="U22" i="2"/>
  <c r="T22" i="2"/>
  <c r="AC21" i="2"/>
  <c r="AB21" i="2"/>
  <c r="AA21" i="2"/>
  <c r="Z21" i="2"/>
  <c r="Y21" i="2"/>
  <c r="X21" i="2"/>
  <c r="W21" i="2"/>
  <c r="V21" i="2"/>
  <c r="U21" i="2"/>
  <c r="T21" i="2"/>
  <c r="AC20" i="2"/>
  <c r="AB20" i="2"/>
  <c r="AA20" i="2"/>
  <c r="Z20" i="2"/>
  <c r="Y20" i="2"/>
  <c r="X20" i="2"/>
  <c r="W20" i="2"/>
  <c r="V20" i="2"/>
  <c r="U20" i="2"/>
  <c r="T20" i="2"/>
  <c r="AC19" i="2"/>
  <c r="AB19" i="2"/>
  <c r="AA19" i="2"/>
  <c r="Z19" i="2"/>
  <c r="Y19" i="2"/>
  <c r="X19" i="2"/>
  <c r="W19" i="2"/>
  <c r="V19" i="2"/>
  <c r="U19" i="2"/>
  <c r="T19" i="2"/>
  <c r="AC18" i="2"/>
  <c r="AB18" i="2"/>
  <c r="AA18" i="2"/>
  <c r="Z18" i="2"/>
  <c r="Y18" i="2"/>
  <c r="X18" i="2"/>
  <c r="W18" i="2"/>
  <c r="V18" i="2"/>
  <c r="U18" i="2"/>
  <c r="T18" i="2"/>
  <c r="AC17" i="2"/>
  <c r="AB17" i="2"/>
  <c r="AA17" i="2"/>
  <c r="Z17" i="2"/>
  <c r="Y17" i="2"/>
  <c r="X17" i="2"/>
  <c r="W17" i="2"/>
  <c r="V17" i="2"/>
  <c r="U17" i="2"/>
  <c r="T17" i="2"/>
  <c r="AC16" i="2"/>
  <c r="AB16" i="2"/>
  <c r="AA16" i="2"/>
  <c r="Z16" i="2"/>
  <c r="Y16" i="2"/>
  <c r="X16" i="2"/>
  <c r="W16" i="2"/>
  <c r="V16" i="2"/>
  <c r="U16" i="2"/>
  <c r="T16" i="2"/>
  <c r="AC15" i="2"/>
  <c r="AB15" i="2"/>
  <c r="AA15" i="2"/>
  <c r="Z15" i="2"/>
  <c r="Y15" i="2"/>
  <c r="X15" i="2"/>
  <c r="W15" i="2"/>
  <c r="V15" i="2"/>
  <c r="U15" i="2"/>
  <c r="T15" i="2"/>
  <c r="AC14" i="2"/>
  <c r="AB14" i="2"/>
  <c r="AA14" i="2"/>
  <c r="Z14" i="2"/>
  <c r="Y14" i="2"/>
  <c r="X14" i="2"/>
  <c r="W14" i="2"/>
  <c r="V14" i="2"/>
  <c r="U14" i="2"/>
  <c r="T14" i="2"/>
  <c r="AC13" i="2"/>
  <c r="AB13" i="2"/>
  <c r="AA13" i="2"/>
  <c r="Z13" i="2"/>
  <c r="Y13" i="2"/>
  <c r="X13" i="2"/>
  <c r="W13" i="2"/>
  <c r="V13" i="2"/>
  <c r="U13" i="2"/>
  <c r="T13" i="2"/>
  <c r="AC12" i="2"/>
  <c r="AB12" i="2"/>
  <c r="AA12" i="2"/>
  <c r="Z12" i="2"/>
  <c r="Y12" i="2"/>
  <c r="X12" i="2"/>
  <c r="W12" i="2"/>
  <c r="V12" i="2"/>
  <c r="U12" i="2"/>
  <c r="T12" i="2"/>
  <c r="AC11" i="2"/>
  <c r="AB11" i="2"/>
  <c r="AA11" i="2"/>
  <c r="Z11" i="2"/>
  <c r="Y11" i="2"/>
  <c r="X11" i="2"/>
  <c r="W11" i="2"/>
  <c r="V11" i="2"/>
  <c r="U11" i="2"/>
  <c r="T11" i="2"/>
  <c r="AC10" i="2"/>
  <c r="AB10" i="2"/>
  <c r="AA10" i="2"/>
  <c r="Z10" i="2"/>
  <c r="Y10" i="2"/>
  <c r="X10" i="2"/>
  <c r="W10" i="2"/>
  <c r="V10" i="2"/>
  <c r="U10" i="2"/>
  <c r="T10" i="2"/>
  <c r="AC9" i="2"/>
  <c r="AB9" i="2"/>
  <c r="AA9" i="2"/>
  <c r="Z9" i="2"/>
  <c r="Y9" i="2"/>
  <c r="X9" i="2"/>
  <c r="W9" i="2"/>
  <c r="V9" i="2"/>
  <c r="U9" i="2"/>
  <c r="T9" i="2"/>
  <c r="AC8" i="2"/>
  <c r="AB8" i="2"/>
  <c r="AA8" i="2"/>
  <c r="Z8" i="2"/>
  <c r="Y8" i="2"/>
  <c r="X8" i="2"/>
  <c r="W8" i="2"/>
  <c r="V8" i="2"/>
  <c r="U8" i="2"/>
  <c r="T8" i="2"/>
  <c r="AC7" i="2"/>
  <c r="AB7" i="2"/>
  <c r="AA7" i="2"/>
  <c r="Z7" i="2"/>
  <c r="Y7" i="2"/>
  <c r="X7" i="2"/>
  <c r="W7" i="2"/>
  <c r="V7" i="2"/>
  <c r="U7" i="2"/>
  <c r="T7" i="2"/>
  <c r="AC6" i="2"/>
  <c r="AB6" i="2"/>
  <c r="AA6" i="2"/>
  <c r="Z6" i="2"/>
  <c r="Y6" i="2"/>
  <c r="X6" i="2"/>
  <c r="W6" i="2"/>
  <c r="V6" i="2"/>
  <c r="U6" i="2"/>
  <c r="T6" i="2"/>
  <c r="AC5" i="2"/>
  <c r="AB5" i="2"/>
  <c r="AA5" i="2"/>
  <c r="Z5" i="2"/>
  <c r="Y5" i="2"/>
  <c r="X5" i="2"/>
  <c r="W5" i="2"/>
  <c r="V5" i="2"/>
  <c r="U5" i="2"/>
  <c r="T5" i="2"/>
  <c r="AC4" i="2"/>
  <c r="AB4" i="2"/>
  <c r="AA4" i="2"/>
  <c r="Z4" i="2"/>
  <c r="Y4" i="2"/>
  <c r="X4" i="2"/>
  <c r="W4" i="2"/>
  <c r="V4" i="2"/>
  <c r="U4" i="2"/>
  <c r="T4" i="2"/>
  <c r="AC3" i="2"/>
  <c r="AB3" i="2"/>
  <c r="AA3" i="2"/>
  <c r="Z3" i="2"/>
  <c r="Y3" i="2"/>
  <c r="X3" i="2"/>
  <c r="W3" i="2"/>
  <c r="V3" i="2"/>
  <c r="U3" i="2"/>
  <c r="T3" i="2"/>
  <c r="AC2" i="2"/>
  <c r="AB2" i="2"/>
  <c r="AA2" i="2"/>
  <c r="Z2" i="2"/>
  <c r="Y2" i="2"/>
  <c r="X2" i="2"/>
  <c r="W2" i="2"/>
  <c r="V2" i="2"/>
  <c r="U2" i="2"/>
  <c r="T2" i="2"/>
  <c r="C9" i="6" l="1"/>
</calcChain>
</file>

<file path=xl/sharedStrings.xml><?xml version="1.0" encoding="utf-8"?>
<sst xmlns="http://schemas.openxmlformats.org/spreadsheetml/2006/main" count="729" uniqueCount="302">
  <si>
    <t>Purpose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</si>
  <si>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</si>
  <si>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</si>
  <si>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</si>
  <si>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</si>
  <si>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</si>
  <si>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</si>
  <si>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</si>
  <si>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</si>
  <si>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</si>
  <si>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State/Province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</si>
  <si>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</si>
  <si>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</si>
  <si>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</si>
  <si>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</si>
  <si>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</si>
  <si>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</si>
  <si>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</si>
  <si>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</si>
  <si>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</si>
  <si>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Status</t>
  </si>
  <si>
    <t>Sales Band</t>
  </si>
  <si>
    <t>Order Year</t>
  </si>
  <si>
    <t>Order Month</t>
  </si>
  <si>
    <t>Order Prefix</t>
  </si>
  <si>
    <t>Order Year Code</t>
  </si>
  <si>
    <t>Order Suffix</t>
  </si>
  <si>
    <t>Customer Name Length</t>
  </si>
  <si>
    <t>Clean Customer Name</t>
  </si>
  <si>
    <t>Region Flag</t>
  </si>
  <si>
    <t>US-2023-103800</t>
  </si>
  <si>
    <t>Standard Class</t>
  </si>
  <si>
    <t>DP-13000</t>
  </si>
  <si>
    <t>Darren Powers</t>
  </si>
  <si>
    <t>Consumer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</si>
  <si>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</si>
  <si>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</si>
  <si>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</si>
  <si>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</si>
  <si>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</si>
  <si>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</si>
  <si>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</si>
  <si>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</si>
  <si>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</si>
  <si>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</si>
  <si>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</si>
  <si>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</si>
  <si>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</si>
  <si>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</si>
  <si>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</si>
  <si>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</si>
  <si>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</si>
  <si>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</si>
  <si>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</si>
  <si>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</si>
  <si>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</si>
  <si>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</si>
  <si>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</si>
  <si>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</si>
  <si>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</si>
  <si>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</si>
  <si>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</si>
  <si>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</si>
  <si>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</si>
  <si>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</si>
  <si>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</si>
  <si>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</si>
  <si>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</si>
  <si>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</si>
  <si>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</si>
  <si>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</si>
  <si>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</si>
  <si>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</si>
  <si>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</si>
  <si>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</si>
  <si>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</si>
  <si>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</si>
  <si>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</si>
  <si>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US-2023-130092</t>
  </si>
  <si>
    <t>First Class</t>
  </si>
  <si>
    <t>SV-20365</t>
  </si>
  <si>
    <t>Seth Vernon</t>
  </si>
  <si>
    <t>Dover</t>
  </si>
  <si>
    <t>Delaware</t>
  </si>
  <si>
    <t>FUR-FU-10000010</t>
  </si>
  <si>
    <t>Furnishings</t>
  </si>
  <si>
    <t>DAX Value U-Channel Document Frames, Easel Back</t>
  </si>
  <si>
    <t>US-2023-157147</t>
  </si>
  <si>
    <t>BD-11605</t>
  </si>
  <si>
    <t>Brian Dahlen</t>
  </si>
  <si>
    <t>San Francisco</t>
  </si>
  <si>
    <t>California</t>
  </si>
  <si>
    <t>West</t>
  </si>
  <si>
    <t>FUR-BO-10003034</t>
  </si>
  <si>
    <t>Bookcases</t>
  </si>
  <si>
    <t>O'Sullivan Elevations Bookcase, Cherry Finish</t>
  </si>
  <si>
    <t>US-2023-109232</t>
  </si>
  <si>
    <t>Second Class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</si>
  <si>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</si>
  <si>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</si>
  <si>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</si>
  <si>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</si>
  <si>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</si>
  <si>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</si>
  <si>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</si>
  <si>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</si>
  <si>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</si>
  <si>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</si>
  <si>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</si>
  <si>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</si>
  <si>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</si>
  <si>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</si>
  <si>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</si>
  <si>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</si>
  <si>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</si>
  <si>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</si>
  <si>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Corporate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</si>
  <si>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</si>
  <si>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</si>
  <si>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</si>
  <si>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</si>
  <si>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</si>
  <si>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</si>
  <si>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</si>
  <si>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US-2023-130421</t>
  </si>
  <si>
    <t>SC-20020</t>
  </si>
  <si>
    <t>Sam Craven</t>
  </si>
  <si>
    <t>OFF-AP-10002534</t>
  </si>
  <si>
    <t>Appliances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</si>
  <si>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</si>
  <si>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</si>
  <si>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</si>
  <si>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</si>
  <si>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</si>
  <si>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</si>
  <si>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OFF-AR-10003560</t>
  </si>
  <si>
    <t>Zebra Zazzle Fluorescent Highlighters</t>
  </si>
  <si>
    <t>US-2023-127964</t>
  </si>
  <si>
    <t>AP-10720</t>
  </si>
  <si>
    <t>Anne Pryor</t>
  </si>
  <si>
    <t>New York City</t>
  </si>
  <si>
    <t>New York</t>
  </si>
  <si>
    <t>OFF-BI-10003429</t>
  </si>
  <si>
    <t>Cardinal HOLDit! Binder Insert Strips,Extra Strips</t>
  </si>
  <si>
    <t>OFF-BI-10004593</t>
  </si>
  <si>
    <t>Ibico Laser Imprintable Binding System Covers</t>
  </si>
  <si>
    <t>US-2023-127978</t>
  </si>
  <si>
    <t>JS-15595</t>
  </si>
  <si>
    <t>Jill Stevenson</t>
  </si>
  <si>
    <t>Columbus</t>
  </si>
  <si>
    <t>OFF-LA-10000305</t>
  </si>
  <si>
    <t>Avery 495</t>
  </si>
  <si>
    <t>OFF-ST-10002486</t>
  </si>
  <si>
    <t>Eldon Shelf Savers Cubes and Bins</t>
  </si>
  <si>
    <t>US-2023-169061</t>
  </si>
  <si>
    <t>AB-10150</t>
  </si>
  <si>
    <t>Aimee Bixby</t>
  </si>
  <si>
    <t>Yonkers</t>
  </si>
  <si>
    <t>OFF-PA-10001878</t>
  </si>
  <si>
    <t>Xerox 1891</t>
  </si>
  <si>
    <t>OFF-SU-10000381</t>
  </si>
  <si>
    <t>Supplies</t>
  </si>
  <si>
    <t>Acme Forged Steel Scissors with Black Enamel Handles</t>
  </si>
  <si>
    <t>TEC-AC-10002001</t>
  </si>
  <si>
    <t>Technology</t>
  </si>
  <si>
    <t>Accessories</t>
  </si>
  <si>
    <t>Logitech Wireless Gaming Headset G930</t>
  </si>
  <si>
    <t>US-2023-104563</t>
  </si>
  <si>
    <t>CM-12715</t>
  </si>
  <si>
    <t>Craig Molinari</t>
  </si>
  <si>
    <t>Seattle</t>
  </si>
  <si>
    <t>Washington</t>
  </si>
  <si>
    <t>FUR-CH-10002780</t>
  </si>
  <si>
    <t>Office Star - Task Chair with Contemporary Loop Arms</t>
  </si>
  <si>
    <t>US-2023-156587</t>
  </si>
  <si>
    <t>AB-10015</t>
  </si>
  <si>
    <t>Aaron Bergman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</si>
  <si>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</si>
  <si>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</si>
  <si>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</si>
  <si>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</si>
  <si>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</si>
  <si>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</si>
  <si>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</si>
  <si>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</si>
  <si>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</si>
  <si>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</si>
  <si>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</si>
  <si>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</si>
  <si>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Formula Demonstration — Live Excel Formulas</t>
  </si>
  <si>
    <t>Function / Task</t>
  </si>
  <si>
    <t>Input / Criteria</t>
  </si>
  <si>
    <t>Live Excel Formula</t>
  </si>
  <si>
    <t>Expected Result</t>
  </si>
  <si>
    <t>When to Use</t>
  </si>
  <si>
    <t>Edge-Case / Analyst Note</t>
  </si>
  <si>
    <t>VLOOKUP</t>
  </si>
  <si>
    <t>Exact match lookup from Customer_Lookup.</t>
  </si>
  <si>
    <t>Exact match is safer for IDs. Avoid approximate match unless the lookup table is sorted.</t>
  </si>
  <si>
    <t>XLOOKUP</t>
  </si>
  <si>
    <t>Modern exact lookup; returns Not Found for a missing key.</t>
  </si>
  <si>
    <t>Returns 'Not Found' instead of an Excel error for a missing key.</t>
  </si>
  <si>
    <t>IF</t>
  </si>
  <si>
    <t>Profit check</t>
  </si>
  <si>
    <t>Create business labels from a logical condition.</t>
  </si>
  <si>
    <t>Test boundary values such as exactly 0.</t>
  </si>
  <si>
    <t>SUMIF</t>
  </si>
  <si>
    <t>Aggregate one numeric measure using one criterion.</t>
  </si>
  <si>
    <t>Criteria text must match the source category exactly.</t>
  </si>
  <si>
    <t>SUMIFS</t>
  </si>
  <si>
    <t>Aggregate a measure using multiple criteria.</t>
  </si>
  <si>
    <t>Check each criterion range has the same size as the sum range.</t>
  </si>
  <si>
    <t>COUNTIF</t>
  </si>
  <si>
    <t>Count rows matching one condition.</t>
  </si>
  <si>
    <t>Text criteria are case-insensitive but must otherwise match the intended label.</t>
  </si>
  <si>
    <t>COUNTIFS</t>
  </si>
  <si>
    <t>Discount &gt;= 70% and Profit &lt; 0</t>
  </si>
  <si>
    <t>Count transactions satisfying multiple business conditions.</t>
  </si>
  <si>
    <t>Useful for exception monitoring and quality checks.</t>
  </si>
  <si>
    <t>LEFT</t>
  </si>
  <si>
    <t>Order ID prefix</t>
  </si>
  <si>
    <t>US</t>
  </si>
  <si>
    <t>Extract characters from the left side of IDs or codes.</t>
  </si>
  <si>
    <t>Do not assume a fixed pattern unless the source standard is known.</t>
  </si>
  <si>
    <t>MID</t>
  </si>
  <si>
    <t>Order year from Order ID</t>
  </si>
  <si>
    <t>2023</t>
  </si>
  <si>
    <t>Extract a fixed-position segment from a text identifier.</t>
  </si>
  <si>
    <t>Position-based extraction breaks if the ID format changes.</t>
  </si>
  <si>
    <t>RIGHT</t>
  </si>
  <si>
    <t>Order ID numeric suffix</t>
  </si>
  <si>
    <t>103800</t>
  </si>
  <si>
    <t>Extract characters from the right side of IDs.</t>
  </si>
  <si>
    <t>Use only when the suffix length is consistent.</t>
  </si>
  <si>
    <t>LEN</t>
  </si>
  <si>
    <t>Customer name length</t>
  </si>
  <si>
    <t>Measure text length for validation or profiling.</t>
  </si>
  <si>
    <t>Spaces count as characters.</t>
  </si>
  <si>
    <t>TRIM</t>
  </si>
  <si>
    <t>Remove extra spaces</t>
  </si>
  <si>
    <t>Data Analyst</t>
  </si>
  <si>
    <t>Clean accidental leading, trailing, or repeated spaces.</t>
  </si>
  <si>
    <t>TRIM does not remove every kind of non-breaking space.</t>
  </si>
  <si>
    <t>INDEX/MATCH</t>
  </si>
  <si>
    <t>Useful when you want a flexible lookup pattern and for compatibility with older Excel versions.</t>
  </si>
  <si>
    <t>MATCH with 0 performs exact matching.</t>
  </si>
  <si>
    <t>IFERROR + XLOOKUP</t>
  </si>
  <si>
    <t>Invalid Customer ID</t>
  </si>
  <si>
    <t>Not Found</t>
  </si>
  <si>
    <t>Gracefully handle missing lookup results.</t>
  </si>
  <si>
    <t>Useful in production workbooks where missing keys are expected.</t>
  </si>
  <si>
    <t>Task 6 Formula Practice — Summary</t>
  </si>
  <si>
    <t>Metric</t>
  </si>
  <si>
    <t>Calculated Value</t>
  </si>
  <si>
    <t>Excel Formula / Method</t>
  </si>
  <si>
    <t>Interpretation</t>
  </si>
  <si>
    <t>Task requirement coverage</t>
  </si>
  <si>
    <t>Practice rows</t>
  </si>
  <si>
    <t>Number of transactional records used for this task.</t>
  </si>
  <si>
    <t>Completed</t>
  </si>
  <si>
    <t>Unique customers</t>
  </si>
  <si>
    <t>Distinct customer IDs represented in the practice extract.</t>
  </si>
  <si>
    <t>Total sales in practice extract</t>
  </si>
  <si>
    <t>Revenue represented by the selected practice rows.</t>
  </si>
  <si>
    <t>Total profit in practice extract</t>
  </si>
  <si>
    <t>Profit after the source dataset's recorded discounts/costs.</t>
  </si>
  <si>
    <t>SUMIF / SUMIFS</t>
  </si>
  <si>
    <t>Average discount</t>
  </si>
  <si>
    <t>Mean discount across practice transactions.</t>
  </si>
  <si>
    <t>COUNTIF / COUNTIFS</t>
  </si>
  <si>
    <t>Loss transactions</t>
  </si>
  <si>
    <t>Rows where Profit is below zero.</t>
  </si>
  <si>
    <t>Text functions</t>
  </si>
  <si>
    <t>LEFT / MID / RIGHT / LEN / TRIM</t>
  </si>
  <si>
    <t>High-discount transactions (&gt;=70%)</t>
  </si>
  <si>
    <t>Rows with unusually high discount values.</t>
  </si>
  <si>
    <t>Named ranges</t>
  </si>
  <si>
    <t>West sales</t>
  </si>
  <si>
    <t>Sales contribution from the West region in the practice extract.</t>
  </si>
  <si>
    <t>Edge cases</t>
  </si>
  <si>
    <t>Formula Validation &amp; Edge Cases</t>
  </si>
  <si>
    <t>Test</t>
  </si>
  <si>
    <t>Test Input</t>
  </si>
  <si>
    <t>Expected</t>
  </si>
  <si>
    <t>Excel Formula</t>
  </si>
  <si>
    <t>Status</t>
  </si>
  <si>
    <t>Valid VLOOKUP</t>
  </si>
  <si>
    <t>Verify exact customer match</t>
  </si>
  <si>
    <t>PASS</t>
  </si>
  <si>
    <t>Invalid XLOOKUP</t>
  </si>
  <si>
    <t>Missing key should not break workbook</t>
  </si>
  <si>
    <t>ZZ-99999</t>
  </si>
  <si>
    <t>High discount + loss</t>
  </si>
  <si>
    <t>Exception count</t>
  </si>
  <si>
    <t>&gt;=70% discount &amp; &lt;0 profit</t>
  </si>
  <si>
    <t>Text extraction</t>
  </si>
  <si>
    <t>Validate Order ID pattern</t>
  </si>
  <si>
    <t>Blank lookup note</t>
  </si>
  <si>
    <t>Document blank-key handling</t>
  </si>
  <si>
    <t>Blank</t>
  </si>
  <si>
    <t>Use IF/IFERROR around lookup</t>
  </si>
  <si>
    <t>See Formula_Demo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</si>
</sst>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5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061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9" fontId="0" fillId="0" borderId="0" xfId="0" applyNumberFormat="1" applyAlignment="1">
      <alignment vertical="top"/>
    </xf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3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10" fontId="0" fillId="0" borderId="0" xfId="0" applyNumberFormat="1" applyAlignment="1">
      <alignment vertical="top"/>
    </xf>
    <xf numFmtId="0" fontId="4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Region — Practice Extract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Summary!$A$15:$A$18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Summary!$B$15:$B$18</c:f>
              <c:numCache>
                <c:formatCode>General</c:formatCode>
                <c:ptCount val="4"/>
                <c:pt idx="0">
                  <c:v>481.28</c:v>
                </c:pt>
                <c:pt idx="1">
                  <c:v>840.19599999999991</c:v>
                </c:pt>
                <c:pt idx="2">
                  <c:v>3201.2759999999998</c:v>
                </c:pt>
                <c:pt idx="3">
                  <c:v>1897.021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2-4B01-BEF0-641B495B0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1264920</xdr:colOff>
      <xdr:row>15</xdr:row>
      <xdr:rowOff>0</xdr:rowOff>
    </xdr:from>
    <xdr:ext cx="4320000" cy="20802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ransactions" displayName="tblTransactions" ref="A1:AC31">
  <autoFilter ref="A1:AC31" xr:uid="{00000000-0009-0000-0100-000001000000}"/>
  <tableColumns count="29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ity"/>
    <tableColumn id="10" xr3:uid="{00000000-0010-0000-0000-00000A000000}" name="State/Province"/>
    <tableColumn id="11" xr3:uid="{00000000-0010-0000-0000-00000B000000}" name="Region"/>
    <tableColumn id="12" xr3:uid="{00000000-0010-0000-0000-00000C000000}" name="Product ID"/>
    <tableColumn id="13" xr3:uid="{00000000-0010-0000-0000-00000D000000}" name="Category"/>
    <tableColumn id="14" xr3:uid="{00000000-0010-0000-0000-00000E000000}" name="Sub-Category"/>
    <tableColumn id="15" xr3:uid="{00000000-0010-0000-0000-00000F000000}" name="Product Name"/>
    <tableColumn id="16" xr3:uid="{00000000-0010-0000-0000-000010000000}" name="Sales"/>
    <tableColumn id="17" xr3:uid="{00000000-0010-0000-0000-000011000000}" name="Quantity"/>
    <tableColumn id="18" xr3:uid="{00000000-0010-0000-0000-000012000000}" name="Discount"/>
    <tableColumn id="19" xr3:uid="{00000000-0010-0000-0000-000013000000}" name="Profit"/>
    <tableColumn id="20" xr3:uid="{00000000-0010-0000-0000-000014000000}" name="Profit Status"/>
    <tableColumn id="21" xr3:uid="{00000000-0010-0000-0000-000015000000}" name="Sales Band"/>
    <tableColumn id="22" xr3:uid="{00000000-0010-0000-0000-000016000000}" name="Order Year"/>
    <tableColumn id="23" xr3:uid="{00000000-0010-0000-0000-000017000000}" name="Order Month"/>
    <tableColumn id="24" xr3:uid="{00000000-0010-0000-0000-000018000000}" name="Order Prefix"/>
    <tableColumn id="25" xr3:uid="{00000000-0010-0000-0000-000019000000}" name="Order Year Code"/>
    <tableColumn id="26" xr3:uid="{00000000-0010-0000-0000-00001A000000}" name="Order Suffix"/>
    <tableColumn id="27" xr3:uid="{00000000-0010-0000-0000-00001B000000}" name="Customer Name Length"/>
    <tableColumn id="28" xr3:uid="{00000000-0010-0000-0000-00001C000000}" name="Clean Customer Name"/>
    <tableColumn id="29" xr3:uid="{00000000-0010-0000-0000-00001D000000}" name="Region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ustomers" displayName="tblCustomers" ref="A1:D17">
  <autoFilter ref="A1:D17" xr:uid="{00000000-0009-0000-0100-000002000000}"/>
  <tableColumns count="4">
    <tableColumn id="1" xr3:uid="{00000000-0010-0000-0100-000001000000}" name="Customer ID"/>
    <tableColumn id="2" xr3:uid="{00000000-0010-0000-0100-000002000000}" name="Customer Name"/>
    <tableColumn id="3" xr3:uid="{00000000-0010-0000-0100-000003000000}" name="Segment"/>
    <tableColumn id="4" xr3:uid="{00000000-0010-0000-0100-000004000000}" name="Reg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roducts" displayName="tblProducts" ref="A1:D31">
  <autoFilter ref="A1:D31" xr:uid="{00000000-0009-0000-0100-000003000000}"/>
  <tableColumns count="4">
    <tableColumn id="1" xr3:uid="{00000000-0010-0000-0200-000001000000}" name="Product ID"/>
    <tableColumn id="2" xr3:uid="{00000000-0010-0000-0200-000002000000}" name="Product Name"/>
    <tableColumn id="3" xr3:uid="{00000000-0010-0000-0200-000003000000}" name="Category"/>
    <tableColumn id="4" xr3:uid="{00000000-0010-0000-0200-000004000000}" name="Sub-Categor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1"/>
  <sheetViews>
    <sheetView showGridLines="0" topLeftCell="Q1" workbookViewId="0">
      <pane ySplit="1" topLeftCell="A2" activePane="bottomLeft" state="frozen"/>
      <selection pane="bottomLeft" activeCell="M1" sqref="M1"/>
    </sheetView>
  </sheetViews>
  <sheetFormatPr defaultRowHeight="14.4" x14ac:dyDescent="0.3"/>
  <cols>
    <col min="1" max="1" width="7.5546875" customWidth="1"/>
    <col min="2" max="6" width="15" customWidth="1"/>
    <col min="7" max="7" width="18.33203125" customWidth="1"/>
    <col min="8" max="10" width="15" customWidth="1"/>
    <col min="11" max="11" width="10.77734375" customWidth="1"/>
    <col min="12" max="14" width="15" customWidth="1"/>
    <col min="15" max="15" width="42" customWidth="1"/>
    <col min="16" max="22" width="15" customWidth="1"/>
    <col min="23" max="23" width="9.109375" customWidth="1"/>
    <col min="24" max="25" width="15" customWidth="1"/>
    <col min="26" max="26" width="13.44140625" customWidth="1"/>
    <col min="27" max="27" width="15" hidden="1" customWidth="1"/>
    <col min="28" max="28" width="22" customWidth="1"/>
    <col min="29" max="29" width="15" customWidth="1"/>
  </cols>
  <sheetData>
    <row r="1" spans="1:29" ht="28.8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</row>
    <row r="2" spans="1:29" x14ac:dyDescent="0.3">
      <c r="A2" s="1">
        <v>1</v>
      </c>
      <c r="B2" s="1" t="s">
        <v>30</v>
      </c>
      <c r="C2" s="3">
        <v>44929</v>
      </c>
      <c r="D2" s="3">
        <v>44933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4">
        <v>16.448</v>
      </c>
      <c r="Q2" s="1">
        <v>2</v>
      </c>
      <c r="R2" s="5">
        <v>0.2</v>
      </c>
      <c r="S2" s="4">
        <v>5.5511999999999997</v>
      </c>
      <c r="T2" s="1" t="str">
        <f t="shared" ref="T2:T31" si="0">IF(S2&gt;=0,"Profit","Loss")</f>
        <v>Profit</v>
      </c>
      <c r="U2" s="1" t="str">
        <f t="shared" ref="U2:U31" si="1">IF(P2&gt;=500,"High Value",IF(P2&gt;=100,"Medium Value","Low Value"))</f>
        <v>Low Value</v>
      </c>
      <c r="V2" s="1">
        <f t="shared" ref="V2:V31" si="2">YEAR(C2)</f>
        <v>2023</v>
      </c>
      <c r="W2" s="1" t="str">
        <f t="shared" ref="W2:W31" si="3">TEXT(C2,"mmm")</f>
        <v>Jan</v>
      </c>
      <c r="X2" s="1" t="str">
        <f t="shared" ref="X2:X31" si="4">LEFT(B2,2)</f>
        <v>US</v>
      </c>
      <c r="Y2" s="1" t="str">
        <f t="shared" ref="Y2:Y31" si="5">MID(B2,4,4)</f>
        <v>2023</v>
      </c>
      <c r="Z2" s="1" t="str">
        <f t="shared" ref="Z2:Z31" si="6">RIGHT(B2,6)</f>
        <v>103800</v>
      </c>
      <c r="AA2" s="1">
        <f t="shared" ref="AA2:AA31" si="7">LEN(G2)</f>
        <v>13</v>
      </c>
      <c r="AB2" s="1" t="str">
        <f t="shared" ref="AB2:AB31" si="8">TRIM(G2)</f>
        <v>Darren Powers</v>
      </c>
      <c r="AC2" s="1" t="str">
        <f t="shared" ref="AC2:AC31" si="9">IF(K2="West","Priority Region","Standard Region")</f>
        <v>Standard Region</v>
      </c>
    </row>
    <row r="3" spans="1:29" x14ac:dyDescent="0.3">
      <c r="A3" s="1">
        <v>2</v>
      </c>
      <c r="B3" s="1" t="s">
        <v>42</v>
      </c>
      <c r="C3" s="3">
        <v>44930</v>
      </c>
      <c r="D3" s="3">
        <v>44934</v>
      </c>
      <c r="E3" s="1" t="s">
        <v>31</v>
      </c>
      <c r="F3" s="1" t="s">
        <v>43</v>
      </c>
      <c r="G3" s="1" t="s">
        <v>44</v>
      </c>
      <c r="H3" s="1" t="s">
        <v>45</v>
      </c>
      <c r="I3" s="1" t="s">
        <v>46</v>
      </c>
      <c r="J3" s="1" t="s">
        <v>47</v>
      </c>
      <c r="K3" s="1" t="s">
        <v>37</v>
      </c>
      <c r="L3" s="1" t="s">
        <v>48</v>
      </c>
      <c r="M3" s="1" t="s">
        <v>39</v>
      </c>
      <c r="N3" s="1" t="s">
        <v>49</v>
      </c>
      <c r="O3" s="1" t="s">
        <v>50</v>
      </c>
      <c r="P3" s="4">
        <v>3.54</v>
      </c>
      <c r="Q3" s="1">
        <v>2</v>
      </c>
      <c r="R3" s="5">
        <v>0.8</v>
      </c>
      <c r="S3" s="4">
        <v>-5.4870000000000001</v>
      </c>
      <c r="T3" s="1" t="str">
        <f t="shared" si="0"/>
        <v>Loss</v>
      </c>
      <c r="U3" s="1" t="str">
        <f t="shared" si="1"/>
        <v>Low Value</v>
      </c>
      <c r="V3" s="1">
        <f t="shared" si="2"/>
        <v>2023</v>
      </c>
      <c r="W3" s="1" t="str">
        <f t="shared" si="3"/>
        <v>Jan</v>
      </c>
      <c r="X3" s="1" t="str">
        <f t="shared" si="4"/>
        <v>US</v>
      </c>
      <c r="Y3" s="1" t="str">
        <f t="shared" si="5"/>
        <v>2023</v>
      </c>
      <c r="Z3" s="1" t="str">
        <f t="shared" si="6"/>
        <v>112326</v>
      </c>
      <c r="AA3" s="1">
        <f t="shared" si="7"/>
        <v>13</v>
      </c>
      <c r="AB3" s="1" t="str">
        <f t="shared" si="8"/>
        <v>Phillina Ober</v>
      </c>
      <c r="AC3" s="1" t="str">
        <f t="shared" si="9"/>
        <v>Standard Region</v>
      </c>
    </row>
    <row r="4" spans="1:29" x14ac:dyDescent="0.3">
      <c r="A4" s="1">
        <v>3</v>
      </c>
      <c r="B4" s="1" t="s">
        <v>42</v>
      </c>
      <c r="C4" s="3">
        <v>44930</v>
      </c>
      <c r="D4" s="3">
        <v>44934</v>
      </c>
      <c r="E4" s="1" t="s">
        <v>31</v>
      </c>
      <c r="F4" s="1" t="s">
        <v>43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37</v>
      </c>
      <c r="L4" s="1" t="s">
        <v>51</v>
      </c>
      <c r="M4" s="1" t="s">
        <v>39</v>
      </c>
      <c r="N4" s="1" t="s">
        <v>52</v>
      </c>
      <c r="O4" s="1" t="s">
        <v>53</v>
      </c>
      <c r="P4" s="4">
        <v>11.784000000000001</v>
      </c>
      <c r="Q4" s="1">
        <v>3</v>
      </c>
      <c r="R4" s="5">
        <v>0.2</v>
      </c>
      <c r="S4" s="4">
        <v>4.2717000000000001</v>
      </c>
      <c r="T4" s="1" t="str">
        <f t="shared" si="0"/>
        <v>Profit</v>
      </c>
      <c r="U4" s="1" t="str">
        <f t="shared" si="1"/>
        <v>Low Value</v>
      </c>
      <c r="V4" s="1">
        <f t="shared" si="2"/>
        <v>2023</v>
      </c>
      <c r="W4" s="1" t="str">
        <f t="shared" si="3"/>
        <v>Jan</v>
      </c>
      <c r="X4" s="1" t="str">
        <f t="shared" si="4"/>
        <v>US</v>
      </c>
      <c r="Y4" s="1" t="str">
        <f t="shared" si="5"/>
        <v>2023</v>
      </c>
      <c r="Z4" s="1" t="str">
        <f t="shared" si="6"/>
        <v>112326</v>
      </c>
      <c r="AA4" s="1">
        <f t="shared" si="7"/>
        <v>13</v>
      </c>
      <c r="AB4" s="1" t="str">
        <f t="shared" si="8"/>
        <v>Phillina Ober</v>
      </c>
      <c r="AC4" s="1" t="str">
        <f t="shared" si="9"/>
        <v>Standard Region</v>
      </c>
    </row>
    <row r="5" spans="1:29" x14ac:dyDescent="0.3">
      <c r="A5" s="1">
        <v>4</v>
      </c>
      <c r="B5" s="1" t="s">
        <v>42</v>
      </c>
      <c r="C5" s="3">
        <v>44930</v>
      </c>
      <c r="D5" s="3">
        <v>44934</v>
      </c>
      <c r="E5" s="1" t="s">
        <v>31</v>
      </c>
      <c r="F5" s="1" t="s">
        <v>43</v>
      </c>
      <c r="G5" s="1" t="s">
        <v>44</v>
      </c>
      <c r="H5" s="1" t="s">
        <v>45</v>
      </c>
      <c r="I5" s="1" t="s">
        <v>46</v>
      </c>
      <c r="J5" s="1" t="s">
        <v>47</v>
      </c>
      <c r="K5" s="1" t="s">
        <v>37</v>
      </c>
      <c r="L5" s="1" t="s">
        <v>54</v>
      </c>
      <c r="M5" s="1" t="s">
        <v>39</v>
      </c>
      <c r="N5" s="1" t="s">
        <v>55</v>
      </c>
      <c r="O5" s="1" t="s">
        <v>56</v>
      </c>
      <c r="P5" s="4">
        <v>272.73599999999999</v>
      </c>
      <c r="Q5" s="1">
        <v>3</v>
      </c>
      <c r="R5" s="5">
        <v>0.2</v>
      </c>
      <c r="S5" s="4">
        <v>-64.774799999999999</v>
      </c>
      <c r="T5" s="1" t="str">
        <f t="shared" si="0"/>
        <v>Loss</v>
      </c>
      <c r="U5" s="1" t="str">
        <f t="shared" si="1"/>
        <v>Medium Value</v>
      </c>
      <c r="V5" s="1">
        <f t="shared" si="2"/>
        <v>2023</v>
      </c>
      <c r="W5" s="1" t="str">
        <f t="shared" si="3"/>
        <v>Jan</v>
      </c>
      <c r="X5" s="1" t="str">
        <f t="shared" si="4"/>
        <v>US</v>
      </c>
      <c r="Y5" s="1" t="str">
        <f t="shared" si="5"/>
        <v>2023</v>
      </c>
      <c r="Z5" s="1" t="str">
        <f t="shared" si="6"/>
        <v>112326</v>
      </c>
      <c r="AA5" s="1">
        <f t="shared" si="7"/>
        <v>13</v>
      </c>
      <c r="AB5" s="1" t="str">
        <f t="shared" si="8"/>
        <v>Phillina Ober</v>
      </c>
      <c r="AC5" s="1" t="str">
        <f t="shared" si="9"/>
        <v>Standard Region</v>
      </c>
    </row>
    <row r="6" spans="1:29" x14ac:dyDescent="0.3">
      <c r="A6" s="1">
        <v>5</v>
      </c>
      <c r="B6" s="1" t="s">
        <v>57</v>
      </c>
      <c r="C6" s="3">
        <v>44931</v>
      </c>
      <c r="D6" s="3">
        <v>44938</v>
      </c>
      <c r="E6" s="1" t="s">
        <v>31</v>
      </c>
      <c r="F6" s="1" t="s">
        <v>58</v>
      </c>
      <c r="G6" s="1" t="s">
        <v>59</v>
      </c>
      <c r="H6" s="1" t="s">
        <v>34</v>
      </c>
      <c r="I6" s="1" t="s">
        <v>60</v>
      </c>
      <c r="J6" s="1" t="s">
        <v>61</v>
      </c>
      <c r="K6" s="1" t="s">
        <v>62</v>
      </c>
      <c r="L6" s="1" t="s">
        <v>63</v>
      </c>
      <c r="M6" s="1" t="s">
        <v>39</v>
      </c>
      <c r="N6" s="1" t="s">
        <v>64</v>
      </c>
      <c r="O6" s="1" t="s">
        <v>65</v>
      </c>
      <c r="P6" s="4">
        <v>19.536000000000001</v>
      </c>
      <c r="Q6" s="1">
        <v>3</v>
      </c>
      <c r="R6" s="5">
        <v>0.2</v>
      </c>
      <c r="S6" s="4">
        <v>4.8840000000000003</v>
      </c>
      <c r="T6" s="1" t="str">
        <f t="shared" si="0"/>
        <v>Profit</v>
      </c>
      <c r="U6" s="1" t="str">
        <f t="shared" si="1"/>
        <v>Low Value</v>
      </c>
      <c r="V6" s="1">
        <f t="shared" si="2"/>
        <v>2023</v>
      </c>
      <c r="W6" s="1" t="str">
        <f t="shared" si="3"/>
        <v>Jan</v>
      </c>
      <c r="X6" s="1" t="str">
        <f t="shared" si="4"/>
        <v>US</v>
      </c>
      <c r="Y6" s="1" t="str">
        <f t="shared" si="5"/>
        <v>2023</v>
      </c>
      <c r="Z6" s="1" t="str">
        <f t="shared" si="6"/>
        <v>141817</v>
      </c>
      <c r="AA6" s="1">
        <f t="shared" si="7"/>
        <v>10</v>
      </c>
      <c r="AB6" s="1" t="str">
        <f t="shared" si="8"/>
        <v>Mick Brown</v>
      </c>
      <c r="AC6" s="1" t="str">
        <f t="shared" si="9"/>
        <v>Standard Region</v>
      </c>
    </row>
    <row r="7" spans="1:29" x14ac:dyDescent="0.3">
      <c r="A7" s="1">
        <v>6</v>
      </c>
      <c r="B7" s="1" t="s">
        <v>66</v>
      </c>
      <c r="C7" s="3">
        <v>44932</v>
      </c>
      <c r="D7" s="3">
        <v>44936</v>
      </c>
      <c r="E7" s="1" t="s">
        <v>31</v>
      </c>
      <c r="F7" s="1" t="s">
        <v>67</v>
      </c>
      <c r="G7" s="1" t="s">
        <v>68</v>
      </c>
      <c r="H7" s="1" t="s">
        <v>45</v>
      </c>
      <c r="I7" s="1" t="s">
        <v>69</v>
      </c>
      <c r="J7" s="1" t="s">
        <v>70</v>
      </c>
      <c r="K7" s="1" t="s">
        <v>71</v>
      </c>
      <c r="L7" s="1" t="s">
        <v>72</v>
      </c>
      <c r="M7" s="1" t="s">
        <v>73</v>
      </c>
      <c r="N7" s="1" t="s">
        <v>74</v>
      </c>
      <c r="O7" s="1" t="s">
        <v>75</v>
      </c>
      <c r="P7" s="4">
        <v>2573.8200000000002</v>
      </c>
      <c r="Q7" s="1">
        <v>9</v>
      </c>
      <c r="R7" s="5">
        <v>0</v>
      </c>
      <c r="S7" s="4">
        <v>746.40779999999995</v>
      </c>
      <c r="T7" s="1" t="str">
        <f t="shared" si="0"/>
        <v>Profit</v>
      </c>
      <c r="U7" s="1" t="str">
        <f t="shared" si="1"/>
        <v>High Value</v>
      </c>
      <c r="V7" s="1">
        <f t="shared" si="2"/>
        <v>2023</v>
      </c>
      <c r="W7" s="1" t="str">
        <f t="shared" si="3"/>
        <v>Jan</v>
      </c>
      <c r="X7" s="1" t="str">
        <f t="shared" si="4"/>
        <v>US</v>
      </c>
      <c r="Y7" s="1" t="str">
        <f t="shared" si="5"/>
        <v>2023</v>
      </c>
      <c r="Z7" s="1" t="str">
        <f t="shared" si="6"/>
        <v>167199</v>
      </c>
      <c r="AA7" s="1">
        <f t="shared" si="7"/>
        <v>13</v>
      </c>
      <c r="AB7" s="1" t="str">
        <f t="shared" si="8"/>
        <v>Maria Etezadi</v>
      </c>
      <c r="AC7" s="1" t="str">
        <f t="shared" si="9"/>
        <v>Standard Region</v>
      </c>
    </row>
    <row r="8" spans="1:29" x14ac:dyDescent="0.3">
      <c r="A8" s="1">
        <v>7</v>
      </c>
      <c r="B8" s="1" t="s">
        <v>66</v>
      </c>
      <c r="C8" s="3">
        <v>44932</v>
      </c>
      <c r="D8" s="3">
        <v>44936</v>
      </c>
      <c r="E8" s="1" t="s">
        <v>31</v>
      </c>
      <c r="F8" s="1" t="s">
        <v>67</v>
      </c>
      <c r="G8" s="1" t="s">
        <v>68</v>
      </c>
      <c r="H8" s="1" t="s">
        <v>45</v>
      </c>
      <c r="I8" s="1" t="s">
        <v>69</v>
      </c>
      <c r="J8" s="1" t="s">
        <v>70</v>
      </c>
      <c r="K8" s="1" t="s">
        <v>71</v>
      </c>
      <c r="L8" s="1" t="s">
        <v>76</v>
      </c>
      <c r="M8" s="1" t="s">
        <v>39</v>
      </c>
      <c r="N8" s="1" t="s">
        <v>64</v>
      </c>
      <c r="O8" s="1" t="s">
        <v>77</v>
      </c>
      <c r="P8" s="4">
        <v>5.48</v>
      </c>
      <c r="Q8" s="1">
        <v>2</v>
      </c>
      <c r="R8" s="5">
        <v>0</v>
      </c>
      <c r="S8" s="4">
        <v>1.4796</v>
      </c>
      <c r="T8" s="1" t="str">
        <f t="shared" si="0"/>
        <v>Profit</v>
      </c>
      <c r="U8" s="1" t="str">
        <f t="shared" si="1"/>
        <v>Low Value</v>
      </c>
      <c r="V8" s="1">
        <f t="shared" si="2"/>
        <v>2023</v>
      </c>
      <c r="W8" s="1" t="str">
        <f t="shared" si="3"/>
        <v>Jan</v>
      </c>
      <c r="X8" s="1" t="str">
        <f t="shared" si="4"/>
        <v>US</v>
      </c>
      <c r="Y8" s="1" t="str">
        <f t="shared" si="5"/>
        <v>2023</v>
      </c>
      <c r="Z8" s="1" t="str">
        <f t="shared" si="6"/>
        <v>167199</v>
      </c>
      <c r="AA8" s="1">
        <f t="shared" si="7"/>
        <v>13</v>
      </c>
      <c r="AB8" s="1" t="str">
        <f t="shared" si="8"/>
        <v>Maria Etezadi</v>
      </c>
      <c r="AC8" s="1" t="str">
        <f t="shared" si="9"/>
        <v>Standard Region</v>
      </c>
    </row>
    <row r="9" spans="1:29" x14ac:dyDescent="0.3">
      <c r="A9" s="1">
        <v>21</v>
      </c>
      <c r="B9" s="1" t="s">
        <v>78</v>
      </c>
      <c r="C9" s="3">
        <v>44937</v>
      </c>
      <c r="D9" s="3">
        <v>44940</v>
      </c>
      <c r="E9" s="1" t="s">
        <v>79</v>
      </c>
      <c r="F9" s="1" t="s">
        <v>80</v>
      </c>
      <c r="G9" s="1" t="s">
        <v>81</v>
      </c>
      <c r="H9" s="1" t="s">
        <v>34</v>
      </c>
      <c r="I9" s="1" t="s">
        <v>82</v>
      </c>
      <c r="J9" s="1" t="s">
        <v>83</v>
      </c>
      <c r="K9" s="1" t="s">
        <v>62</v>
      </c>
      <c r="L9" s="1" t="s">
        <v>84</v>
      </c>
      <c r="M9" s="1" t="s">
        <v>73</v>
      </c>
      <c r="N9" s="1" t="s">
        <v>85</v>
      </c>
      <c r="O9" s="1" t="s">
        <v>86</v>
      </c>
      <c r="P9" s="4">
        <v>9.94</v>
      </c>
      <c r="Q9" s="1">
        <v>2</v>
      </c>
      <c r="R9" s="5">
        <v>0</v>
      </c>
      <c r="S9" s="4">
        <v>3.0813999999999999</v>
      </c>
      <c r="T9" s="1" t="str">
        <f t="shared" si="0"/>
        <v>Profit</v>
      </c>
      <c r="U9" s="1" t="str">
        <f t="shared" si="1"/>
        <v>Low Value</v>
      </c>
      <c r="V9" s="1">
        <f t="shared" si="2"/>
        <v>2023</v>
      </c>
      <c r="W9" s="1" t="str">
        <f t="shared" si="3"/>
        <v>Jan</v>
      </c>
      <c r="X9" s="1" t="str">
        <f t="shared" si="4"/>
        <v>US</v>
      </c>
      <c r="Y9" s="1" t="str">
        <f t="shared" si="5"/>
        <v>2023</v>
      </c>
      <c r="Z9" s="1" t="str">
        <f t="shared" si="6"/>
        <v>130092</v>
      </c>
      <c r="AA9" s="1">
        <f t="shared" si="7"/>
        <v>11</v>
      </c>
      <c r="AB9" s="1" t="str">
        <f t="shared" si="8"/>
        <v>Seth Vernon</v>
      </c>
      <c r="AC9" s="1" t="str">
        <f t="shared" si="9"/>
        <v>Standard Region</v>
      </c>
    </row>
    <row r="10" spans="1:29" x14ac:dyDescent="0.3">
      <c r="A10" s="1">
        <v>22</v>
      </c>
      <c r="B10" s="1" t="s">
        <v>87</v>
      </c>
      <c r="C10" s="3">
        <v>44939</v>
      </c>
      <c r="D10" s="3">
        <v>44944</v>
      </c>
      <c r="E10" s="1" t="s">
        <v>31</v>
      </c>
      <c r="F10" s="1" t="s">
        <v>88</v>
      </c>
      <c r="G10" s="1" t="s">
        <v>89</v>
      </c>
      <c r="H10" s="1" t="s">
        <v>34</v>
      </c>
      <c r="I10" s="1" t="s">
        <v>90</v>
      </c>
      <c r="J10" s="1" t="s">
        <v>91</v>
      </c>
      <c r="K10" s="1" t="s">
        <v>92</v>
      </c>
      <c r="L10" s="1" t="s">
        <v>93</v>
      </c>
      <c r="M10" s="1" t="s">
        <v>73</v>
      </c>
      <c r="N10" s="1" t="s">
        <v>94</v>
      </c>
      <c r="O10" s="1" t="s">
        <v>95</v>
      </c>
      <c r="P10" s="4">
        <v>333.99900000000002</v>
      </c>
      <c r="Q10" s="1">
        <v>3</v>
      </c>
      <c r="R10" s="5">
        <v>0.15</v>
      </c>
      <c r="S10" s="4">
        <v>3.92940000000001</v>
      </c>
      <c r="T10" s="1" t="str">
        <f t="shared" si="0"/>
        <v>Profit</v>
      </c>
      <c r="U10" s="1" t="str">
        <f t="shared" si="1"/>
        <v>Medium Value</v>
      </c>
      <c r="V10" s="1">
        <f t="shared" si="2"/>
        <v>2023</v>
      </c>
      <c r="W10" s="1" t="str">
        <f t="shared" si="3"/>
        <v>Jan</v>
      </c>
      <c r="X10" s="1" t="str">
        <f t="shared" si="4"/>
        <v>US</v>
      </c>
      <c r="Y10" s="1" t="str">
        <f t="shared" si="5"/>
        <v>2023</v>
      </c>
      <c r="Z10" s="1" t="str">
        <f t="shared" si="6"/>
        <v>157147</v>
      </c>
      <c r="AA10" s="1">
        <f t="shared" si="7"/>
        <v>12</v>
      </c>
      <c r="AB10" s="1" t="str">
        <f t="shared" si="8"/>
        <v>Brian Dahlen</v>
      </c>
      <c r="AC10" s="1" t="str">
        <f t="shared" si="9"/>
        <v>Priority Region</v>
      </c>
    </row>
    <row r="11" spans="1:29" x14ac:dyDescent="0.3">
      <c r="A11" s="1">
        <v>23</v>
      </c>
      <c r="B11" s="1" t="s">
        <v>96</v>
      </c>
      <c r="C11" s="3">
        <v>44939</v>
      </c>
      <c r="D11" s="3">
        <v>44942</v>
      </c>
      <c r="E11" s="1" t="s">
        <v>97</v>
      </c>
      <c r="F11" s="1" t="s">
        <v>98</v>
      </c>
      <c r="G11" s="1" t="s">
        <v>99</v>
      </c>
      <c r="H11" s="1" t="s">
        <v>34</v>
      </c>
      <c r="I11" s="1" t="s">
        <v>100</v>
      </c>
      <c r="J11" s="1" t="s">
        <v>101</v>
      </c>
      <c r="K11" s="1" t="s">
        <v>71</v>
      </c>
      <c r="L11" s="1" t="s">
        <v>102</v>
      </c>
      <c r="M11" s="1" t="s">
        <v>73</v>
      </c>
      <c r="N11" s="1" t="s">
        <v>74</v>
      </c>
      <c r="O11" s="1" t="s">
        <v>103</v>
      </c>
      <c r="P11" s="4">
        <v>545.94000000000005</v>
      </c>
      <c r="Q11" s="1">
        <v>6</v>
      </c>
      <c r="R11" s="5">
        <v>0</v>
      </c>
      <c r="S11" s="4">
        <v>87.350399999999993</v>
      </c>
      <c r="T11" s="1" t="str">
        <f t="shared" si="0"/>
        <v>Profit</v>
      </c>
      <c r="U11" s="1" t="str">
        <f t="shared" si="1"/>
        <v>High Value</v>
      </c>
      <c r="V11" s="1">
        <f t="shared" si="2"/>
        <v>2023</v>
      </c>
      <c r="W11" s="1" t="str">
        <f t="shared" si="3"/>
        <v>Jan</v>
      </c>
      <c r="X11" s="1" t="str">
        <f t="shared" si="4"/>
        <v>US</v>
      </c>
      <c r="Y11" s="1" t="str">
        <f t="shared" si="5"/>
        <v>2023</v>
      </c>
      <c r="Z11" s="1" t="str">
        <f t="shared" si="6"/>
        <v>109232</v>
      </c>
      <c r="AA11" s="1">
        <f t="shared" si="7"/>
        <v>17</v>
      </c>
      <c r="AB11" s="1" t="str">
        <f t="shared" si="8"/>
        <v>Natalie DeCherney</v>
      </c>
      <c r="AC11" s="1" t="str">
        <f t="shared" si="9"/>
        <v>Standard Region</v>
      </c>
    </row>
    <row r="12" spans="1:29" x14ac:dyDescent="0.3">
      <c r="A12" s="1">
        <v>24</v>
      </c>
      <c r="B12" s="1" t="s">
        <v>87</v>
      </c>
      <c r="C12" s="3">
        <v>44939</v>
      </c>
      <c r="D12" s="3">
        <v>44944</v>
      </c>
      <c r="E12" s="1" t="s">
        <v>31</v>
      </c>
      <c r="F12" s="1" t="s">
        <v>88</v>
      </c>
      <c r="G12" s="1" t="s">
        <v>89</v>
      </c>
      <c r="H12" s="1" t="s">
        <v>34</v>
      </c>
      <c r="I12" s="1" t="s">
        <v>90</v>
      </c>
      <c r="J12" s="1" t="s">
        <v>91</v>
      </c>
      <c r="K12" s="1" t="s">
        <v>92</v>
      </c>
      <c r="L12" s="1" t="s">
        <v>104</v>
      </c>
      <c r="M12" s="1" t="s">
        <v>39</v>
      </c>
      <c r="N12" s="1" t="s">
        <v>64</v>
      </c>
      <c r="O12" s="1" t="s">
        <v>105</v>
      </c>
      <c r="P12" s="4">
        <v>19.899999999999999</v>
      </c>
      <c r="Q12" s="1">
        <v>5</v>
      </c>
      <c r="R12" s="5">
        <v>0</v>
      </c>
      <c r="S12" s="4">
        <v>6.5670000000000002</v>
      </c>
      <c r="T12" s="1" t="str">
        <f t="shared" si="0"/>
        <v>Profit</v>
      </c>
      <c r="U12" s="1" t="str">
        <f t="shared" si="1"/>
        <v>Low Value</v>
      </c>
      <c r="V12" s="1">
        <f t="shared" si="2"/>
        <v>2023</v>
      </c>
      <c r="W12" s="1" t="str">
        <f t="shared" si="3"/>
        <v>Jan</v>
      </c>
      <c r="X12" s="1" t="str">
        <f t="shared" si="4"/>
        <v>US</v>
      </c>
      <c r="Y12" s="1" t="str">
        <f t="shared" si="5"/>
        <v>2023</v>
      </c>
      <c r="Z12" s="1" t="str">
        <f t="shared" si="6"/>
        <v>157147</v>
      </c>
      <c r="AA12" s="1">
        <f t="shared" si="7"/>
        <v>12</v>
      </c>
      <c r="AB12" s="1" t="str">
        <f t="shared" si="8"/>
        <v>Brian Dahlen</v>
      </c>
      <c r="AC12" s="1" t="str">
        <f t="shared" si="9"/>
        <v>Priority Region</v>
      </c>
    </row>
    <row r="13" spans="1:29" x14ac:dyDescent="0.3">
      <c r="A13" s="1">
        <v>25</v>
      </c>
      <c r="B13" s="1" t="s">
        <v>106</v>
      </c>
      <c r="C13" s="3">
        <v>44939</v>
      </c>
      <c r="D13" s="3">
        <v>44944</v>
      </c>
      <c r="E13" s="1" t="s">
        <v>31</v>
      </c>
      <c r="F13" s="1" t="s">
        <v>107</v>
      </c>
      <c r="G13" s="1" t="s">
        <v>108</v>
      </c>
      <c r="H13" s="1" t="s">
        <v>34</v>
      </c>
      <c r="I13" s="1" t="s">
        <v>109</v>
      </c>
      <c r="J13" s="1" t="s">
        <v>110</v>
      </c>
      <c r="K13" s="1" t="s">
        <v>62</v>
      </c>
      <c r="L13" s="1" t="s">
        <v>111</v>
      </c>
      <c r="M13" s="1" t="s">
        <v>39</v>
      </c>
      <c r="N13" s="1" t="s">
        <v>49</v>
      </c>
      <c r="O13" s="1" t="s">
        <v>112</v>
      </c>
      <c r="P13" s="4">
        <v>3.4380000000000002</v>
      </c>
      <c r="Q13" s="1">
        <v>2</v>
      </c>
      <c r="R13" s="5">
        <v>0.7</v>
      </c>
      <c r="S13" s="4">
        <v>-2.5211999999999999</v>
      </c>
      <c r="T13" s="1" t="str">
        <f t="shared" si="0"/>
        <v>Loss</v>
      </c>
      <c r="U13" s="1" t="str">
        <f t="shared" si="1"/>
        <v>Low Value</v>
      </c>
      <c r="V13" s="1">
        <f t="shared" si="2"/>
        <v>2023</v>
      </c>
      <c r="W13" s="1" t="str">
        <f t="shared" si="3"/>
        <v>Jan</v>
      </c>
      <c r="X13" s="1" t="str">
        <f t="shared" si="4"/>
        <v>US</v>
      </c>
      <c r="Y13" s="1" t="str">
        <f t="shared" si="5"/>
        <v>2023</v>
      </c>
      <c r="Z13" s="1" t="str">
        <f t="shared" si="6"/>
        <v>118192</v>
      </c>
      <c r="AA13" s="1">
        <f t="shared" si="7"/>
        <v>13</v>
      </c>
      <c r="AB13" s="1" t="str">
        <f t="shared" si="8"/>
        <v>Michael Moore</v>
      </c>
      <c r="AC13" s="1" t="str">
        <f t="shared" si="9"/>
        <v>Standard Region</v>
      </c>
    </row>
    <row r="14" spans="1:29" x14ac:dyDescent="0.3">
      <c r="A14" s="1">
        <v>26</v>
      </c>
      <c r="B14" s="1" t="s">
        <v>113</v>
      </c>
      <c r="C14" s="3">
        <v>44939</v>
      </c>
      <c r="D14" s="3">
        <v>44941</v>
      </c>
      <c r="E14" s="1" t="s">
        <v>97</v>
      </c>
      <c r="F14" s="1" t="s">
        <v>114</v>
      </c>
      <c r="G14" s="1" t="s">
        <v>115</v>
      </c>
      <c r="H14" s="1" t="s">
        <v>116</v>
      </c>
      <c r="I14" s="1" t="s">
        <v>117</v>
      </c>
      <c r="J14" s="1" t="s">
        <v>118</v>
      </c>
      <c r="K14" s="1" t="s">
        <v>71</v>
      </c>
      <c r="L14" s="1" t="s">
        <v>119</v>
      </c>
      <c r="M14" s="1" t="s">
        <v>39</v>
      </c>
      <c r="N14" s="1" t="s">
        <v>49</v>
      </c>
      <c r="O14" s="1" t="s">
        <v>120</v>
      </c>
      <c r="P14" s="4">
        <v>5.64</v>
      </c>
      <c r="Q14" s="1">
        <v>3</v>
      </c>
      <c r="R14" s="5">
        <v>0</v>
      </c>
      <c r="S14" s="4">
        <v>2.7071999999999998</v>
      </c>
      <c r="T14" s="1" t="str">
        <f t="shared" si="0"/>
        <v>Profit</v>
      </c>
      <c r="U14" s="1" t="str">
        <f t="shared" si="1"/>
        <v>Low Value</v>
      </c>
      <c r="V14" s="1">
        <f t="shared" si="2"/>
        <v>2023</v>
      </c>
      <c r="W14" s="1" t="str">
        <f t="shared" si="3"/>
        <v>Jan</v>
      </c>
      <c r="X14" s="1" t="str">
        <f t="shared" si="4"/>
        <v>US</v>
      </c>
      <c r="Y14" s="1" t="str">
        <f t="shared" si="5"/>
        <v>2023</v>
      </c>
      <c r="Z14" s="1" t="str">
        <f t="shared" si="6"/>
        <v>162775</v>
      </c>
      <c r="AA14" s="1">
        <f t="shared" si="7"/>
        <v>15</v>
      </c>
      <c r="AB14" s="1" t="str">
        <f t="shared" si="8"/>
        <v>Chris Selesnick</v>
      </c>
      <c r="AC14" s="1" t="str">
        <f t="shared" si="9"/>
        <v>Standard Region</v>
      </c>
    </row>
    <row r="15" spans="1:29" x14ac:dyDescent="0.3">
      <c r="A15" s="1">
        <v>27</v>
      </c>
      <c r="B15" s="1" t="s">
        <v>113</v>
      </c>
      <c r="C15" s="3">
        <v>44939</v>
      </c>
      <c r="D15" s="3">
        <v>44941</v>
      </c>
      <c r="E15" s="1" t="s">
        <v>97</v>
      </c>
      <c r="F15" s="1" t="s">
        <v>114</v>
      </c>
      <c r="G15" s="1" t="s">
        <v>115</v>
      </c>
      <c r="H15" s="1" t="s">
        <v>116</v>
      </c>
      <c r="I15" s="1" t="s">
        <v>117</v>
      </c>
      <c r="J15" s="1" t="s">
        <v>118</v>
      </c>
      <c r="K15" s="1" t="s">
        <v>71</v>
      </c>
      <c r="L15" s="1" t="s">
        <v>121</v>
      </c>
      <c r="M15" s="1" t="s">
        <v>39</v>
      </c>
      <c r="N15" s="1" t="s">
        <v>122</v>
      </c>
      <c r="O15" s="1" t="s">
        <v>123</v>
      </c>
      <c r="P15" s="4">
        <v>50.94</v>
      </c>
      <c r="Q15" s="1">
        <v>3</v>
      </c>
      <c r="R15" s="5">
        <v>0</v>
      </c>
      <c r="S15" s="4">
        <v>25.47</v>
      </c>
      <c r="T15" s="1" t="str">
        <f t="shared" si="0"/>
        <v>Profit</v>
      </c>
      <c r="U15" s="1" t="str">
        <f t="shared" si="1"/>
        <v>Low Value</v>
      </c>
      <c r="V15" s="1">
        <f t="shared" si="2"/>
        <v>2023</v>
      </c>
      <c r="W15" s="1" t="str">
        <f t="shared" si="3"/>
        <v>Jan</v>
      </c>
      <c r="X15" s="1" t="str">
        <f t="shared" si="4"/>
        <v>US</v>
      </c>
      <c r="Y15" s="1" t="str">
        <f t="shared" si="5"/>
        <v>2023</v>
      </c>
      <c r="Z15" s="1" t="str">
        <f t="shared" si="6"/>
        <v>162775</v>
      </c>
      <c r="AA15" s="1">
        <f t="shared" si="7"/>
        <v>15</v>
      </c>
      <c r="AB15" s="1" t="str">
        <f t="shared" si="8"/>
        <v>Chris Selesnick</v>
      </c>
      <c r="AC15" s="1" t="str">
        <f t="shared" si="9"/>
        <v>Standard Region</v>
      </c>
    </row>
    <row r="16" spans="1:29" x14ac:dyDescent="0.3">
      <c r="A16" s="1">
        <v>147</v>
      </c>
      <c r="B16" s="1" t="s">
        <v>124</v>
      </c>
      <c r="C16" s="3">
        <v>44988</v>
      </c>
      <c r="D16" s="3">
        <v>44992</v>
      </c>
      <c r="E16" s="1" t="s">
        <v>31</v>
      </c>
      <c r="F16" s="1" t="s">
        <v>125</v>
      </c>
      <c r="G16" s="1" t="s">
        <v>126</v>
      </c>
      <c r="H16" s="1" t="s">
        <v>34</v>
      </c>
      <c r="I16" s="1" t="s">
        <v>35</v>
      </c>
      <c r="J16" s="1" t="s">
        <v>36</v>
      </c>
      <c r="K16" s="1" t="s">
        <v>37</v>
      </c>
      <c r="L16" s="1" t="s">
        <v>127</v>
      </c>
      <c r="M16" s="1" t="s">
        <v>39</v>
      </c>
      <c r="N16" s="1" t="s">
        <v>128</v>
      </c>
      <c r="O16" s="1" t="s">
        <v>129</v>
      </c>
      <c r="P16" s="4">
        <v>176.77199999999999</v>
      </c>
      <c r="Q16" s="1">
        <v>3</v>
      </c>
      <c r="R16" s="5">
        <v>0.8</v>
      </c>
      <c r="S16" s="4">
        <v>-459.60719999999998</v>
      </c>
      <c r="T16" s="1" t="str">
        <f t="shared" si="0"/>
        <v>Loss</v>
      </c>
      <c r="U16" s="1" t="str">
        <f t="shared" si="1"/>
        <v>Medium Value</v>
      </c>
      <c r="V16" s="1">
        <f t="shared" si="2"/>
        <v>2023</v>
      </c>
      <c r="W16" s="1" t="str">
        <f t="shared" si="3"/>
        <v>Mar</v>
      </c>
      <c r="X16" s="1" t="str">
        <f t="shared" si="4"/>
        <v>US</v>
      </c>
      <c r="Y16" s="1" t="str">
        <f t="shared" si="5"/>
        <v>2023</v>
      </c>
      <c r="Z16" s="1" t="str">
        <f t="shared" si="6"/>
        <v>130421</v>
      </c>
      <c r="AA16" s="1">
        <f t="shared" si="7"/>
        <v>10</v>
      </c>
      <c r="AB16" s="1" t="str">
        <f t="shared" si="8"/>
        <v>Sam Craven</v>
      </c>
      <c r="AC16" s="1" t="str">
        <f t="shared" si="9"/>
        <v>Standard Region</v>
      </c>
    </row>
    <row r="17" spans="1:29" x14ac:dyDescent="0.3">
      <c r="A17" s="1">
        <v>148</v>
      </c>
      <c r="B17" s="1" t="s">
        <v>130</v>
      </c>
      <c r="C17" s="3">
        <v>44988</v>
      </c>
      <c r="D17" s="3">
        <v>44992</v>
      </c>
      <c r="E17" s="1" t="s">
        <v>97</v>
      </c>
      <c r="F17" s="1" t="s">
        <v>131</v>
      </c>
      <c r="G17" s="1" t="s">
        <v>132</v>
      </c>
      <c r="H17" s="1" t="s">
        <v>34</v>
      </c>
      <c r="I17" s="1" t="s">
        <v>133</v>
      </c>
      <c r="J17" s="1" t="s">
        <v>134</v>
      </c>
      <c r="K17" s="1" t="s">
        <v>71</v>
      </c>
      <c r="L17" s="1" t="s">
        <v>135</v>
      </c>
      <c r="M17" s="1" t="s">
        <v>39</v>
      </c>
      <c r="N17" s="1" t="s">
        <v>64</v>
      </c>
      <c r="O17" s="1" t="s">
        <v>136</v>
      </c>
      <c r="P17" s="4">
        <v>19.456</v>
      </c>
      <c r="Q17" s="1">
        <v>4</v>
      </c>
      <c r="R17" s="5">
        <v>0.2</v>
      </c>
      <c r="S17" s="4">
        <v>3.4047999999999998</v>
      </c>
      <c r="T17" s="1" t="str">
        <f t="shared" si="0"/>
        <v>Profit</v>
      </c>
      <c r="U17" s="1" t="str">
        <f t="shared" si="1"/>
        <v>Low Value</v>
      </c>
      <c r="V17" s="1">
        <f t="shared" si="2"/>
        <v>2023</v>
      </c>
      <c r="W17" s="1" t="str">
        <f t="shared" si="3"/>
        <v>Mar</v>
      </c>
      <c r="X17" s="1" t="str">
        <f t="shared" si="4"/>
        <v>US</v>
      </c>
      <c r="Y17" s="1" t="str">
        <f t="shared" si="5"/>
        <v>2023</v>
      </c>
      <c r="Z17" s="1" t="str">
        <f t="shared" si="6"/>
        <v>155852</v>
      </c>
      <c r="AA17" s="1">
        <f t="shared" si="7"/>
        <v>13</v>
      </c>
      <c r="AB17" s="1" t="str">
        <f t="shared" si="8"/>
        <v>Ashley Jarboe</v>
      </c>
      <c r="AC17" s="1" t="str">
        <f t="shared" si="9"/>
        <v>Standard Region</v>
      </c>
    </row>
    <row r="18" spans="1:29" x14ac:dyDescent="0.3">
      <c r="A18" s="1">
        <v>149</v>
      </c>
      <c r="B18" s="1" t="s">
        <v>137</v>
      </c>
      <c r="C18" s="3">
        <v>44988</v>
      </c>
      <c r="D18" s="3">
        <v>44993</v>
      </c>
      <c r="E18" s="1" t="s">
        <v>31</v>
      </c>
      <c r="F18" s="1" t="s">
        <v>138</v>
      </c>
      <c r="G18" s="1" t="s">
        <v>139</v>
      </c>
      <c r="H18" s="1" t="s">
        <v>45</v>
      </c>
      <c r="I18" s="1" t="s">
        <v>140</v>
      </c>
      <c r="J18" s="1" t="s">
        <v>141</v>
      </c>
      <c r="K18" s="1" t="s">
        <v>62</v>
      </c>
      <c r="L18" s="1" t="s">
        <v>142</v>
      </c>
      <c r="M18" s="1" t="s">
        <v>39</v>
      </c>
      <c r="N18" s="1" t="s">
        <v>49</v>
      </c>
      <c r="O18" s="1" t="s">
        <v>143</v>
      </c>
      <c r="P18" s="4">
        <v>25.32</v>
      </c>
      <c r="Q18" s="1">
        <v>5</v>
      </c>
      <c r="R18" s="5">
        <v>0.2</v>
      </c>
      <c r="S18" s="4">
        <v>9.1784999999999997</v>
      </c>
      <c r="T18" s="1" t="str">
        <f t="shared" si="0"/>
        <v>Profit</v>
      </c>
      <c r="U18" s="1" t="str">
        <f t="shared" si="1"/>
        <v>Low Value</v>
      </c>
      <c r="V18" s="1">
        <f t="shared" si="2"/>
        <v>2023</v>
      </c>
      <c r="W18" s="1" t="str">
        <f t="shared" si="3"/>
        <v>Mar</v>
      </c>
      <c r="X18" s="1" t="str">
        <f t="shared" si="4"/>
        <v>US</v>
      </c>
      <c r="Y18" s="1" t="str">
        <f t="shared" si="5"/>
        <v>2023</v>
      </c>
      <c r="Z18" s="1" t="str">
        <f t="shared" si="6"/>
        <v>127964</v>
      </c>
      <c r="AA18" s="1">
        <f t="shared" si="7"/>
        <v>10</v>
      </c>
      <c r="AB18" s="1" t="str">
        <f t="shared" si="8"/>
        <v>Anne Pryor</v>
      </c>
      <c r="AC18" s="1" t="str">
        <f t="shared" si="9"/>
        <v>Standard Region</v>
      </c>
    </row>
    <row r="19" spans="1:29" x14ac:dyDescent="0.3">
      <c r="A19" s="1">
        <v>150</v>
      </c>
      <c r="B19" s="1" t="s">
        <v>137</v>
      </c>
      <c r="C19" s="3">
        <v>44988</v>
      </c>
      <c r="D19" s="3">
        <v>44993</v>
      </c>
      <c r="E19" s="1" t="s">
        <v>31</v>
      </c>
      <c r="F19" s="1" t="s">
        <v>138</v>
      </c>
      <c r="G19" s="1" t="s">
        <v>139</v>
      </c>
      <c r="H19" s="1" t="s">
        <v>45</v>
      </c>
      <c r="I19" s="1" t="s">
        <v>140</v>
      </c>
      <c r="J19" s="1" t="s">
        <v>141</v>
      </c>
      <c r="K19" s="1" t="s">
        <v>62</v>
      </c>
      <c r="L19" s="1" t="s">
        <v>144</v>
      </c>
      <c r="M19" s="1" t="s">
        <v>39</v>
      </c>
      <c r="N19" s="1" t="s">
        <v>49</v>
      </c>
      <c r="O19" s="1" t="s">
        <v>145</v>
      </c>
      <c r="P19" s="4">
        <v>125.76</v>
      </c>
      <c r="Q19" s="1">
        <v>3</v>
      </c>
      <c r="R19" s="5">
        <v>0.2</v>
      </c>
      <c r="S19" s="4">
        <v>40.872</v>
      </c>
      <c r="T19" s="1" t="str">
        <f t="shared" si="0"/>
        <v>Profit</v>
      </c>
      <c r="U19" s="1" t="str">
        <f t="shared" si="1"/>
        <v>Medium Value</v>
      </c>
      <c r="V19" s="1">
        <f t="shared" si="2"/>
        <v>2023</v>
      </c>
      <c r="W19" s="1" t="str">
        <f t="shared" si="3"/>
        <v>Mar</v>
      </c>
      <c r="X19" s="1" t="str">
        <f t="shared" si="4"/>
        <v>US</v>
      </c>
      <c r="Y19" s="1" t="str">
        <f t="shared" si="5"/>
        <v>2023</v>
      </c>
      <c r="Z19" s="1" t="str">
        <f t="shared" si="6"/>
        <v>127964</v>
      </c>
      <c r="AA19" s="1">
        <f t="shared" si="7"/>
        <v>10</v>
      </c>
      <c r="AB19" s="1" t="str">
        <f t="shared" si="8"/>
        <v>Anne Pryor</v>
      </c>
      <c r="AC19" s="1" t="str">
        <f t="shared" si="9"/>
        <v>Standard Region</v>
      </c>
    </row>
    <row r="20" spans="1:29" x14ac:dyDescent="0.3">
      <c r="A20" s="1">
        <v>151</v>
      </c>
      <c r="B20" s="1" t="s">
        <v>146</v>
      </c>
      <c r="C20" s="3">
        <v>44988</v>
      </c>
      <c r="D20" s="3">
        <v>44993</v>
      </c>
      <c r="E20" s="1" t="s">
        <v>31</v>
      </c>
      <c r="F20" s="1" t="s">
        <v>147</v>
      </c>
      <c r="G20" s="1" t="s">
        <v>148</v>
      </c>
      <c r="H20" s="1" t="s">
        <v>116</v>
      </c>
      <c r="I20" s="1" t="s">
        <v>149</v>
      </c>
      <c r="J20" s="1" t="s">
        <v>110</v>
      </c>
      <c r="K20" s="1" t="s">
        <v>62</v>
      </c>
      <c r="L20" s="1" t="s">
        <v>150</v>
      </c>
      <c r="M20" s="1" t="s">
        <v>39</v>
      </c>
      <c r="N20" s="1" t="s">
        <v>52</v>
      </c>
      <c r="O20" s="1" t="s">
        <v>151</v>
      </c>
      <c r="P20" s="4">
        <v>15.12</v>
      </c>
      <c r="Q20" s="1">
        <v>3</v>
      </c>
      <c r="R20" s="5">
        <v>0.2</v>
      </c>
      <c r="S20" s="4">
        <v>4.9139999999999997</v>
      </c>
      <c r="T20" s="1" t="str">
        <f t="shared" si="0"/>
        <v>Profit</v>
      </c>
      <c r="U20" s="1" t="str">
        <f t="shared" si="1"/>
        <v>Low Value</v>
      </c>
      <c r="V20" s="1">
        <f t="shared" si="2"/>
        <v>2023</v>
      </c>
      <c r="W20" s="1" t="str">
        <f t="shared" si="3"/>
        <v>Mar</v>
      </c>
      <c r="X20" s="1" t="str">
        <f t="shared" si="4"/>
        <v>US</v>
      </c>
      <c r="Y20" s="1" t="str">
        <f t="shared" si="5"/>
        <v>2023</v>
      </c>
      <c r="Z20" s="1" t="str">
        <f t="shared" si="6"/>
        <v>127978</v>
      </c>
      <c r="AA20" s="1">
        <f t="shared" si="7"/>
        <v>14</v>
      </c>
      <c r="AB20" s="1" t="str">
        <f t="shared" si="8"/>
        <v>Jill Stevenson</v>
      </c>
      <c r="AC20" s="1" t="str">
        <f t="shared" si="9"/>
        <v>Standard Region</v>
      </c>
    </row>
    <row r="21" spans="1:29" x14ac:dyDescent="0.3">
      <c r="A21" s="1">
        <v>152</v>
      </c>
      <c r="B21" s="1" t="s">
        <v>146</v>
      </c>
      <c r="C21" s="3">
        <v>44988</v>
      </c>
      <c r="D21" s="3">
        <v>44993</v>
      </c>
      <c r="E21" s="1" t="s">
        <v>31</v>
      </c>
      <c r="F21" s="1" t="s">
        <v>147</v>
      </c>
      <c r="G21" s="1" t="s">
        <v>148</v>
      </c>
      <c r="H21" s="1" t="s">
        <v>116</v>
      </c>
      <c r="I21" s="1" t="s">
        <v>149</v>
      </c>
      <c r="J21" s="1" t="s">
        <v>110</v>
      </c>
      <c r="K21" s="1" t="s">
        <v>62</v>
      </c>
      <c r="L21" s="1" t="s">
        <v>152</v>
      </c>
      <c r="M21" s="1" t="s">
        <v>39</v>
      </c>
      <c r="N21" s="1" t="s">
        <v>55</v>
      </c>
      <c r="O21" s="1" t="s">
        <v>153</v>
      </c>
      <c r="P21" s="4">
        <v>44.671999999999997</v>
      </c>
      <c r="Q21" s="1">
        <v>8</v>
      </c>
      <c r="R21" s="5">
        <v>0.2</v>
      </c>
      <c r="S21" s="4">
        <v>-10.0512</v>
      </c>
      <c r="T21" s="1" t="str">
        <f t="shared" si="0"/>
        <v>Loss</v>
      </c>
      <c r="U21" s="1" t="str">
        <f t="shared" si="1"/>
        <v>Low Value</v>
      </c>
      <c r="V21" s="1">
        <f t="shared" si="2"/>
        <v>2023</v>
      </c>
      <c r="W21" s="1" t="str">
        <f t="shared" si="3"/>
        <v>Mar</v>
      </c>
      <c r="X21" s="1" t="str">
        <f t="shared" si="4"/>
        <v>US</v>
      </c>
      <c r="Y21" s="1" t="str">
        <f t="shared" si="5"/>
        <v>2023</v>
      </c>
      <c r="Z21" s="1" t="str">
        <f t="shared" si="6"/>
        <v>127978</v>
      </c>
      <c r="AA21" s="1">
        <f t="shared" si="7"/>
        <v>14</v>
      </c>
      <c r="AB21" s="1" t="str">
        <f t="shared" si="8"/>
        <v>Jill Stevenson</v>
      </c>
      <c r="AC21" s="1" t="str">
        <f t="shared" si="9"/>
        <v>Standard Region</v>
      </c>
    </row>
    <row r="22" spans="1:29" x14ac:dyDescent="0.3">
      <c r="A22" s="1">
        <v>158</v>
      </c>
      <c r="B22" s="1" t="s">
        <v>154</v>
      </c>
      <c r="C22" s="3">
        <v>44990</v>
      </c>
      <c r="D22" s="3">
        <v>44993</v>
      </c>
      <c r="E22" s="1" t="s">
        <v>97</v>
      </c>
      <c r="F22" s="1" t="s">
        <v>155</v>
      </c>
      <c r="G22" s="1" t="s">
        <v>156</v>
      </c>
      <c r="H22" s="1" t="s">
        <v>34</v>
      </c>
      <c r="I22" s="1" t="s">
        <v>157</v>
      </c>
      <c r="J22" s="1" t="s">
        <v>141</v>
      </c>
      <c r="K22" s="1" t="s">
        <v>62</v>
      </c>
      <c r="L22" s="1" t="s">
        <v>158</v>
      </c>
      <c r="M22" s="1" t="s">
        <v>39</v>
      </c>
      <c r="N22" s="1" t="s">
        <v>40</v>
      </c>
      <c r="O22" s="1" t="s">
        <v>159</v>
      </c>
      <c r="P22" s="4">
        <v>97.82</v>
      </c>
      <c r="Q22" s="1">
        <v>2</v>
      </c>
      <c r="R22" s="5">
        <v>0</v>
      </c>
      <c r="S22" s="4">
        <v>45.9754</v>
      </c>
      <c r="T22" s="1" t="str">
        <f t="shared" si="0"/>
        <v>Profit</v>
      </c>
      <c r="U22" s="1" t="str">
        <f t="shared" si="1"/>
        <v>Low Value</v>
      </c>
      <c r="V22" s="1">
        <f t="shared" si="2"/>
        <v>2023</v>
      </c>
      <c r="W22" s="1" t="str">
        <f t="shared" si="3"/>
        <v>Mar</v>
      </c>
      <c r="X22" s="1" t="str">
        <f t="shared" si="4"/>
        <v>US</v>
      </c>
      <c r="Y22" s="1" t="str">
        <f t="shared" si="5"/>
        <v>2023</v>
      </c>
      <c r="Z22" s="1" t="str">
        <f t="shared" si="6"/>
        <v>169061</v>
      </c>
      <c r="AA22" s="1">
        <f t="shared" si="7"/>
        <v>11</v>
      </c>
      <c r="AB22" s="1" t="str">
        <f t="shared" si="8"/>
        <v>Aimee Bixby</v>
      </c>
      <c r="AC22" s="1" t="str">
        <f t="shared" si="9"/>
        <v>Standard Region</v>
      </c>
    </row>
    <row r="23" spans="1:29" x14ac:dyDescent="0.3">
      <c r="A23" s="1">
        <v>159</v>
      </c>
      <c r="B23" s="1" t="s">
        <v>154</v>
      </c>
      <c r="C23" s="3">
        <v>44990</v>
      </c>
      <c r="D23" s="3">
        <v>44993</v>
      </c>
      <c r="E23" s="1" t="s">
        <v>97</v>
      </c>
      <c r="F23" s="1" t="s">
        <v>155</v>
      </c>
      <c r="G23" s="1" t="s">
        <v>156</v>
      </c>
      <c r="H23" s="1" t="s">
        <v>34</v>
      </c>
      <c r="I23" s="1" t="s">
        <v>157</v>
      </c>
      <c r="J23" s="1" t="s">
        <v>141</v>
      </c>
      <c r="K23" s="1" t="s">
        <v>62</v>
      </c>
      <c r="L23" s="1" t="s">
        <v>160</v>
      </c>
      <c r="M23" s="1" t="s">
        <v>39</v>
      </c>
      <c r="N23" s="1" t="s">
        <v>161</v>
      </c>
      <c r="O23" s="1" t="s">
        <v>162</v>
      </c>
      <c r="P23" s="4">
        <v>18.62</v>
      </c>
      <c r="Q23" s="1">
        <v>2</v>
      </c>
      <c r="R23" s="5">
        <v>0</v>
      </c>
      <c r="S23" s="4">
        <v>5.3997999999999999</v>
      </c>
      <c r="T23" s="1" t="str">
        <f t="shared" si="0"/>
        <v>Profit</v>
      </c>
      <c r="U23" s="1" t="str">
        <f t="shared" si="1"/>
        <v>Low Value</v>
      </c>
      <c r="V23" s="1">
        <f t="shared" si="2"/>
        <v>2023</v>
      </c>
      <c r="W23" s="1" t="str">
        <f t="shared" si="3"/>
        <v>Mar</v>
      </c>
      <c r="X23" s="1" t="str">
        <f t="shared" si="4"/>
        <v>US</v>
      </c>
      <c r="Y23" s="1" t="str">
        <f t="shared" si="5"/>
        <v>2023</v>
      </c>
      <c r="Z23" s="1" t="str">
        <f t="shared" si="6"/>
        <v>169061</v>
      </c>
      <c r="AA23" s="1">
        <f t="shared" si="7"/>
        <v>11</v>
      </c>
      <c r="AB23" s="1" t="str">
        <f t="shared" si="8"/>
        <v>Aimee Bixby</v>
      </c>
      <c r="AC23" s="1" t="str">
        <f t="shared" si="9"/>
        <v>Standard Region</v>
      </c>
    </row>
    <row r="24" spans="1:29" x14ac:dyDescent="0.3">
      <c r="A24" s="1">
        <v>160</v>
      </c>
      <c r="B24" s="1" t="s">
        <v>154</v>
      </c>
      <c r="C24" s="3">
        <v>44990</v>
      </c>
      <c r="D24" s="3">
        <v>44993</v>
      </c>
      <c r="E24" s="1" t="s">
        <v>97</v>
      </c>
      <c r="F24" s="1" t="s">
        <v>155</v>
      </c>
      <c r="G24" s="1" t="s">
        <v>156</v>
      </c>
      <c r="H24" s="1" t="s">
        <v>34</v>
      </c>
      <c r="I24" s="1" t="s">
        <v>157</v>
      </c>
      <c r="J24" s="1" t="s">
        <v>141</v>
      </c>
      <c r="K24" s="1" t="s">
        <v>62</v>
      </c>
      <c r="L24" s="1" t="s">
        <v>163</v>
      </c>
      <c r="M24" s="1" t="s">
        <v>164</v>
      </c>
      <c r="N24" s="1" t="s">
        <v>165</v>
      </c>
      <c r="O24" s="1" t="s">
        <v>166</v>
      </c>
      <c r="P24" s="4">
        <v>479.97</v>
      </c>
      <c r="Q24" s="1">
        <v>3</v>
      </c>
      <c r="R24" s="5">
        <v>0</v>
      </c>
      <c r="S24" s="4">
        <v>177.5889</v>
      </c>
      <c r="T24" s="1" t="str">
        <f t="shared" si="0"/>
        <v>Profit</v>
      </c>
      <c r="U24" s="1" t="str">
        <f t="shared" si="1"/>
        <v>Medium Value</v>
      </c>
      <c r="V24" s="1">
        <f t="shared" si="2"/>
        <v>2023</v>
      </c>
      <c r="W24" s="1" t="str">
        <f t="shared" si="3"/>
        <v>Mar</v>
      </c>
      <c r="X24" s="1" t="str">
        <f t="shared" si="4"/>
        <v>US</v>
      </c>
      <c r="Y24" s="1" t="str">
        <f t="shared" si="5"/>
        <v>2023</v>
      </c>
      <c r="Z24" s="1" t="str">
        <f t="shared" si="6"/>
        <v>169061</v>
      </c>
      <c r="AA24" s="1">
        <f t="shared" si="7"/>
        <v>11</v>
      </c>
      <c r="AB24" s="1" t="str">
        <f t="shared" si="8"/>
        <v>Aimee Bixby</v>
      </c>
      <c r="AC24" s="1" t="str">
        <f t="shared" si="9"/>
        <v>Standard Region</v>
      </c>
    </row>
    <row r="25" spans="1:29" x14ac:dyDescent="0.3">
      <c r="A25" s="1">
        <v>161</v>
      </c>
      <c r="B25" s="1" t="s">
        <v>167</v>
      </c>
      <c r="C25" s="3">
        <v>44992</v>
      </c>
      <c r="D25" s="3">
        <v>44997</v>
      </c>
      <c r="E25" s="1" t="s">
        <v>31</v>
      </c>
      <c r="F25" s="1" t="s">
        <v>168</v>
      </c>
      <c r="G25" s="1" t="s">
        <v>169</v>
      </c>
      <c r="H25" s="1" t="s">
        <v>116</v>
      </c>
      <c r="I25" s="1" t="s">
        <v>170</v>
      </c>
      <c r="J25" s="1" t="s">
        <v>171</v>
      </c>
      <c r="K25" s="1" t="s">
        <v>92</v>
      </c>
      <c r="L25" s="1" t="s">
        <v>172</v>
      </c>
      <c r="M25" s="1" t="s">
        <v>73</v>
      </c>
      <c r="N25" s="1" t="s">
        <v>74</v>
      </c>
      <c r="O25" s="1" t="s">
        <v>173</v>
      </c>
      <c r="P25" s="4">
        <v>436.70400000000001</v>
      </c>
      <c r="Q25" s="1">
        <v>6</v>
      </c>
      <c r="R25" s="5">
        <v>0.2</v>
      </c>
      <c r="S25" s="4">
        <v>21.8352</v>
      </c>
      <c r="T25" s="1" t="str">
        <f t="shared" si="0"/>
        <v>Profit</v>
      </c>
      <c r="U25" s="1" t="str">
        <f t="shared" si="1"/>
        <v>Medium Value</v>
      </c>
      <c r="V25" s="1">
        <f t="shared" si="2"/>
        <v>2023</v>
      </c>
      <c r="W25" s="1" t="str">
        <f t="shared" si="3"/>
        <v>Mar</v>
      </c>
      <c r="X25" s="1" t="str">
        <f t="shared" si="4"/>
        <v>US</v>
      </c>
      <c r="Y25" s="1" t="str">
        <f t="shared" si="5"/>
        <v>2023</v>
      </c>
      <c r="Z25" s="1" t="str">
        <f t="shared" si="6"/>
        <v>104563</v>
      </c>
      <c r="AA25" s="1">
        <f t="shared" si="7"/>
        <v>14</v>
      </c>
      <c r="AB25" s="1" t="str">
        <f t="shared" si="8"/>
        <v>Craig Molinari</v>
      </c>
      <c r="AC25" s="1" t="str">
        <f t="shared" si="9"/>
        <v>Priority Region</v>
      </c>
    </row>
    <row r="26" spans="1:29" x14ac:dyDescent="0.3">
      <c r="A26" s="1">
        <v>162</v>
      </c>
      <c r="B26" s="1" t="s">
        <v>174</v>
      </c>
      <c r="C26" s="3">
        <v>44992</v>
      </c>
      <c r="D26" s="3">
        <v>44993</v>
      </c>
      <c r="E26" s="1" t="s">
        <v>79</v>
      </c>
      <c r="F26" s="1" t="s">
        <v>175</v>
      </c>
      <c r="G26" s="1" t="s">
        <v>176</v>
      </c>
      <c r="H26" s="1" t="s">
        <v>34</v>
      </c>
      <c r="I26" s="1" t="s">
        <v>170</v>
      </c>
      <c r="J26" s="1" t="s">
        <v>171</v>
      </c>
      <c r="K26" s="1" t="s">
        <v>92</v>
      </c>
      <c r="L26" s="1" t="s">
        <v>177</v>
      </c>
      <c r="M26" s="1" t="s">
        <v>73</v>
      </c>
      <c r="N26" s="1" t="s">
        <v>74</v>
      </c>
      <c r="O26" s="1" t="s">
        <v>178</v>
      </c>
      <c r="P26" s="4">
        <v>48.712000000000003</v>
      </c>
      <c r="Q26" s="1">
        <v>1</v>
      </c>
      <c r="R26" s="5">
        <v>0.2</v>
      </c>
      <c r="S26" s="4">
        <v>5.4801000000000002</v>
      </c>
      <c r="T26" s="1" t="str">
        <f t="shared" si="0"/>
        <v>Profit</v>
      </c>
      <c r="U26" s="1" t="str">
        <f t="shared" si="1"/>
        <v>Low Value</v>
      </c>
      <c r="V26" s="1">
        <f t="shared" si="2"/>
        <v>2023</v>
      </c>
      <c r="W26" s="1" t="str">
        <f t="shared" si="3"/>
        <v>Mar</v>
      </c>
      <c r="X26" s="1" t="str">
        <f t="shared" si="4"/>
        <v>US</v>
      </c>
      <c r="Y26" s="1" t="str">
        <f t="shared" si="5"/>
        <v>2023</v>
      </c>
      <c r="Z26" s="1" t="str">
        <f t="shared" si="6"/>
        <v>156587</v>
      </c>
      <c r="AA26" s="1">
        <f t="shared" si="7"/>
        <v>13</v>
      </c>
      <c r="AB26" s="1" t="str">
        <f t="shared" si="8"/>
        <v>Aaron Bergman</v>
      </c>
      <c r="AC26" s="1" t="str">
        <f t="shared" si="9"/>
        <v>Priority Region</v>
      </c>
    </row>
    <row r="27" spans="1:29" x14ac:dyDescent="0.3">
      <c r="A27" s="1">
        <v>163</v>
      </c>
      <c r="B27" s="1" t="s">
        <v>167</v>
      </c>
      <c r="C27" s="3">
        <v>44992</v>
      </c>
      <c r="D27" s="3">
        <v>44997</v>
      </c>
      <c r="E27" s="1" t="s">
        <v>31</v>
      </c>
      <c r="F27" s="1" t="s">
        <v>168</v>
      </c>
      <c r="G27" s="1" t="s">
        <v>169</v>
      </c>
      <c r="H27" s="1" t="s">
        <v>116</v>
      </c>
      <c r="I27" s="1" t="s">
        <v>170</v>
      </c>
      <c r="J27" s="1" t="s">
        <v>171</v>
      </c>
      <c r="K27" s="1" t="s">
        <v>92</v>
      </c>
      <c r="L27" s="1" t="s">
        <v>179</v>
      </c>
      <c r="M27" s="1" t="s">
        <v>73</v>
      </c>
      <c r="N27" s="1" t="s">
        <v>74</v>
      </c>
      <c r="O27" s="1" t="s">
        <v>180</v>
      </c>
      <c r="P27" s="4">
        <v>481.56799999999998</v>
      </c>
      <c r="Q27" s="1">
        <v>2</v>
      </c>
      <c r="R27" s="5">
        <v>0.2</v>
      </c>
      <c r="S27" s="4">
        <v>54.176399999999902</v>
      </c>
      <c r="T27" s="1" t="str">
        <f t="shared" si="0"/>
        <v>Profit</v>
      </c>
      <c r="U27" s="1" t="str">
        <f t="shared" si="1"/>
        <v>Medium Value</v>
      </c>
      <c r="V27" s="1">
        <f t="shared" si="2"/>
        <v>2023</v>
      </c>
      <c r="W27" s="1" t="str">
        <f t="shared" si="3"/>
        <v>Mar</v>
      </c>
      <c r="X27" s="1" t="str">
        <f t="shared" si="4"/>
        <v>US</v>
      </c>
      <c r="Y27" s="1" t="str">
        <f t="shared" si="5"/>
        <v>2023</v>
      </c>
      <c r="Z27" s="1" t="str">
        <f t="shared" si="6"/>
        <v>104563</v>
      </c>
      <c r="AA27" s="1">
        <f t="shared" si="7"/>
        <v>14</v>
      </c>
      <c r="AB27" s="1" t="str">
        <f t="shared" si="8"/>
        <v>Craig Molinari</v>
      </c>
      <c r="AC27" s="1" t="str">
        <f t="shared" si="9"/>
        <v>Priority Region</v>
      </c>
    </row>
    <row r="28" spans="1:29" x14ac:dyDescent="0.3">
      <c r="A28" s="1">
        <v>164</v>
      </c>
      <c r="B28" s="1" t="s">
        <v>167</v>
      </c>
      <c r="C28" s="3">
        <v>44992</v>
      </c>
      <c r="D28" s="3">
        <v>44997</v>
      </c>
      <c r="E28" s="1" t="s">
        <v>31</v>
      </c>
      <c r="F28" s="1" t="s">
        <v>168</v>
      </c>
      <c r="G28" s="1" t="s">
        <v>169</v>
      </c>
      <c r="H28" s="1" t="s">
        <v>116</v>
      </c>
      <c r="I28" s="1" t="s">
        <v>170</v>
      </c>
      <c r="J28" s="1" t="s">
        <v>171</v>
      </c>
      <c r="K28" s="1" t="s">
        <v>92</v>
      </c>
      <c r="L28" s="1" t="s">
        <v>181</v>
      </c>
      <c r="M28" s="1" t="s">
        <v>39</v>
      </c>
      <c r="N28" s="1" t="s">
        <v>64</v>
      </c>
      <c r="O28" s="1" t="s">
        <v>182</v>
      </c>
      <c r="P28" s="4">
        <v>20.65</v>
      </c>
      <c r="Q28" s="1">
        <v>5</v>
      </c>
      <c r="R28" s="5">
        <v>0</v>
      </c>
      <c r="S28" s="4">
        <v>9.4990000000000006</v>
      </c>
      <c r="T28" s="1" t="str">
        <f t="shared" si="0"/>
        <v>Profit</v>
      </c>
      <c r="U28" s="1" t="str">
        <f t="shared" si="1"/>
        <v>Low Value</v>
      </c>
      <c r="V28" s="1">
        <f t="shared" si="2"/>
        <v>2023</v>
      </c>
      <c r="W28" s="1" t="str">
        <f t="shared" si="3"/>
        <v>Mar</v>
      </c>
      <c r="X28" s="1" t="str">
        <f t="shared" si="4"/>
        <v>US</v>
      </c>
      <c r="Y28" s="1" t="str">
        <f t="shared" si="5"/>
        <v>2023</v>
      </c>
      <c r="Z28" s="1" t="str">
        <f t="shared" si="6"/>
        <v>104563</v>
      </c>
      <c r="AA28" s="1">
        <f t="shared" si="7"/>
        <v>14</v>
      </c>
      <c r="AB28" s="1" t="str">
        <f t="shared" si="8"/>
        <v>Craig Molinari</v>
      </c>
      <c r="AC28" s="1" t="str">
        <f t="shared" si="9"/>
        <v>Priority Region</v>
      </c>
    </row>
    <row r="29" spans="1:29" x14ac:dyDescent="0.3">
      <c r="A29" s="1">
        <v>166</v>
      </c>
      <c r="B29" s="1" t="s">
        <v>167</v>
      </c>
      <c r="C29" s="3">
        <v>44992</v>
      </c>
      <c r="D29" s="3">
        <v>44997</v>
      </c>
      <c r="E29" s="1" t="s">
        <v>31</v>
      </c>
      <c r="F29" s="1" t="s">
        <v>168</v>
      </c>
      <c r="G29" s="1" t="s">
        <v>169</v>
      </c>
      <c r="H29" s="1" t="s">
        <v>116</v>
      </c>
      <c r="I29" s="1" t="s">
        <v>170</v>
      </c>
      <c r="J29" s="1" t="s">
        <v>171</v>
      </c>
      <c r="K29" s="1" t="s">
        <v>92</v>
      </c>
      <c r="L29" s="1" t="s">
        <v>183</v>
      </c>
      <c r="M29" s="1" t="s">
        <v>39</v>
      </c>
      <c r="N29" s="1" t="s">
        <v>49</v>
      </c>
      <c r="O29" s="1" t="s">
        <v>184</v>
      </c>
      <c r="P29" s="4">
        <v>107.648</v>
      </c>
      <c r="Q29" s="1">
        <v>2</v>
      </c>
      <c r="R29" s="5">
        <v>0.2</v>
      </c>
      <c r="S29" s="4">
        <v>33.64</v>
      </c>
      <c r="T29" s="1" t="str">
        <f t="shared" si="0"/>
        <v>Profit</v>
      </c>
      <c r="U29" s="1" t="str">
        <f t="shared" si="1"/>
        <v>Medium Value</v>
      </c>
      <c r="V29" s="1">
        <f t="shared" si="2"/>
        <v>2023</v>
      </c>
      <c r="W29" s="1" t="str">
        <f t="shared" si="3"/>
        <v>Mar</v>
      </c>
      <c r="X29" s="1" t="str">
        <f t="shared" si="4"/>
        <v>US</v>
      </c>
      <c r="Y29" s="1" t="str">
        <f t="shared" si="5"/>
        <v>2023</v>
      </c>
      <c r="Z29" s="1" t="str">
        <f t="shared" si="6"/>
        <v>104563</v>
      </c>
      <c r="AA29" s="1">
        <f t="shared" si="7"/>
        <v>14</v>
      </c>
      <c r="AB29" s="1" t="str">
        <f t="shared" si="8"/>
        <v>Craig Molinari</v>
      </c>
      <c r="AC29" s="1" t="str">
        <f t="shared" si="9"/>
        <v>Priority Region</v>
      </c>
    </row>
    <row r="30" spans="1:29" x14ac:dyDescent="0.3">
      <c r="A30" s="1">
        <v>167</v>
      </c>
      <c r="B30" s="1" t="s">
        <v>167</v>
      </c>
      <c r="C30" s="3">
        <v>44992</v>
      </c>
      <c r="D30" s="3">
        <v>44997</v>
      </c>
      <c r="E30" s="1" t="s">
        <v>31</v>
      </c>
      <c r="F30" s="1" t="s">
        <v>168</v>
      </c>
      <c r="G30" s="1" t="s">
        <v>169</v>
      </c>
      <c r="H30" s="1" t="s">
        <v>116</v>
      </c>
      <c r="I30" s="1" t="s">
        <v>170</v>
      </c>
      <c r="J30" s="1" t="s">
        <v>171</v>
      </c>
      <c r="K30" s="1" t="s">
        <v>92</v>
      </c>
      <c r="L30" s="1" t="s">
        <v>185</v>
      </c>
      <c r="M30" s="1" t="s">
        <v>39</v>
      </c>
      <c r="N30" s="1" t="s">
        <v>55</v>
      </c>
      <c r="O30" s="1" t="s">
        <v>186</v>
      </c>
      <c r="P30" s="4">
        <v>204.9</v>
      </c>
      <c r="Q30" s="1">
        <v>5</v>
      </c>
      <c r="R30" s="5">
        <v>0</v>
      </c>
      <c r="S30" s="4">
        <v>0</v>
      </c>
      <c r="T30" s="1" t="str">
        <f t="shared" si="0"/>
        <v>Profit</v>
      </c>
      <c r="U30" s="1" t="str">
        <f t="shared" si="1"/>
        <v>Medium Value</v>
      </c>
      <c r="V30" s="1">
        <f t="shared" si="2"/>
        <v>2023</v>
      </c>
      <c r="W30" s="1" t="str">
        <f t="shared" si="3"/>
        <v>Mar</v>
      </c>
      <c r="X30" s="1" t="str">
        <f t="shared" si="4"/>
        <v>US</v>
      </c>
      <c r="Y30" s="1" t="str">
        <f t="shared" si="5"/>
        <v>2023</v>
      </c>
      <c r="Z30" s="1" t="str">
        <f t="shared" si="6"/>
        <v>104563</v>
      </c>
      <c r="AA30" s="1">
        <f t="shared" si="7"/>
        <v>14</v>
      </c>
      <c r="AB30" s="1" t="str">
        <f t="shared" si="8"/>
        <v>Craig Molinari</v>
      </c>
      <c r="AC30" s="1" t="str">
        <f t="shared" si="9"/>
        <v>Priority Region</v>
      </c>
    </row>
    <row r="31" spans="1:29" x14ac:dyDescent="0.3">
      <c r="A31" s="1">
        <v>168</v>
      </c>
      <c r="B31" s="1" t="s">
        <v>174</v>
      </c>
      <c r="C31" s="3">
        <v>44992</v>
      </c>
      <c r="D31" s="3">
        <v>44993</v>
      </c>
      <c r="E31" s="1" t="s">
        <v>79</v>
      </c>
      <c r="F31" s="1" t="s">
        <v>175</v>
      </c>
      <c r="G31" s="1" t="s">
        <v>176</v>
      </c>
      <c r="H31" s="1" t="s">
        <v>34</v>
      </c>
      <c r="I31" s="1" t="s">
        <v>170</v>
      </c>
      <c r="J31" s="1" t="s">
        <v>171</v>
      </c>
      <c r="K31" s="1" t="s">
        <v>92</v>
      </c>
      <c r="L31" s="1" t="s">
        <v>187</v>
      </c>
      <c r="M31" s="1" t="s">
        <v>39</v>
      </c>
      <c r="N31" s="1" t="s">
        <v>55</v>
      </c>
      <c r="O31" s="1" t="s">
        <v>188</v>
      </c>
      <c r="P31" s="4">
        <v>242.94</v>
      </c>
      <c r="Q31" s="1">
        <v>3</v>
      </c>
      <c r="R31" s="5">
        <v>0</v>
      </c>
      <c r="S31" s="4">
        <v>4.85880000000002</v>
      </c>
      <c r="T31" s="1" t="str">
        <f t="shared" si="0"/>
        <v>Profit</v>
      </c>
      <c r="U31" s="1" t="str">
        <f t="shared" si="1"/>
        <v>Medium Value</v>
      </c>
      <c r="V31" s="1">
        <f t="shared" si="2"/>
        <v>2023</v>
      </c>
      <c r="W31" s="1" t="str">
        <f t="shared" si="3"/>
        <v>Mar</v>
      </c>
      <c r="X31" s="1" t="str">
        <f t="shared" si="4"/>
        <v>US</v>
      </c>
      <c r="Y31" s="1" t="str">
        <f t="shared" si="5"/>
        <v>2023</v>
      </c>
      <c r="Z31" s="1" t="str">
        <f t="shared" si="6"/>
        <v>156587</v>
      </c>
      <c r="AA31" s="1">
        <f t="shared" si="7"/>
        <v>13</v>
      </c>
      <c r="AB31" s="1" t="str">
        <f t="shared" si="8"/>
        <v>Aaron Bergman</v>
      </c>
      <c r="AC31" s="1" t="str">
        <f t="shared" si="9"/>
        <v>Priority Region</v>
      </c>
    </row>
  </sheetData>
  <conditionalFormatting sqref="S2:S31">
    <cfRule type="cellIs" dxfId="1" priority="1" operator="lessThan">
      <formula>0</formula>
    </cfRule>
  </conditionalFormatting>
  <conditionalFormatting sqref="T2:T31">
    <cfRule type="cellIs" dxfId="0" priority="2" operator="equal">
      <formula>"Loss"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17.88671875" customWidth="1"/>
    <col min="3" max="3" width="16" customWidth="1"/>
    <col min="4" max="4" width="13.44140625" customWidth="1"/>
  </cols>
  <sheetData>
    <row r="1" spans="1:4" x14ac:dyDescent="0.3">
      <c r="A1" s="6" t="s">
        <v>6</v>
      </c>
      <c r="B1" s="6" t="s">
        <v>7</v>
      </c>
      <c r="C1" s="6" t="s">
        <v>8</v>
      </c>
      <c r="D1" s="6" t="s">
        <v>11</v>
      </c>
    </row>
    <row r="2" spans="1:4" x14ac:dyDescent="0.3">
      <c r="A2" s="1" t="s">
        <v>175</v>
      </c>
      <c r="B2" s="1" t="s">
        <v>176</v>
      </c>
      <c r="C2" s="1" t="s">
        <v>34</v>
      </c>
      <c r="D2" s="1" t="s">
        <v>92</v>
      </c>
    </row>
    <row r="3" spans="1:4" x14ac:dyDescent="0.3">
      <c r="A3" s="1" t="s">
        <v>155</v>
      </c>
      <c r="B3" s="1" t="s">
        <v>156</v>
      </c>
      <c r="C3" s="1" t="s">
        <v>34</v>
      </c>
      <c r="D3" s="1" t="s">
        <v>62</v>
      </c>
    </row>
    <row r="4" spans="1:4" x14ac:dyDescent="0.3">
      <c r="A4" s="1" t="s">
        <v>131</v>
      </c>
      <c r="B4" s="1" t="s">
        <v>132</v>
      </c>
      <c r="C4" s="1" t="s">
        <v>34</v>
      </c>
      <c r="D4" s="1" t="s">
        <v>71</v>
      </c>
    </row>
    <row r="5" spans="1:4" x14ac:dyDescent="0.3">
      <c r="A5" s="1" t="s">
        <v>138</v>
      </c>
      <c r="B5" s="1" t="s">
        <v>139</v>
      </c>
      <c r="C5" s="1" t="s">
        <v>45</v>
      </c>
      <c r="D5" s="1" t="s">
        <v>62</v>
      </c>
    </row>
    <row r="6" spans="1:4" x14ac:dyDescent="0.3">
      <c r="A6" s="1" t="s">
        <v>88</v>
      </c>
      <c r="B6" s="1" t="s">
        <v>89</v>
      </c>
      <c r="C6" s="1" t="s">
        <v>34</v>
      </c>
      <c r="D6" s="1" t="s">
        <v>92</v>
      </c>
    </row>
    <row r="7" spans="1:4" x14ac:dyDescent="0.3">
      <c r="A7" s="1" t="s">
        <v>168</v>
      </c>
      <c r="B7" s="1" t="s">
        <v>169</v>
      </c>
      <c r="C7" s="1" t="s">
        <v>116</v>
      </c>
      <c r="D7" s="1" t="s">
        <v>92</v>
      </c>
    </row>
    <row r="8" spans="1:4" x14ac:dyDescent="0.3">
      <c r="A8" s="1" t="s">
        <v>114</v>
      </c>
      <c r="B8" s="1" t="s">
        <v>115</v>
      </c>
      <c r="C8" s="1" t="s">
        <v>116</v>
      </c>
      <c r="D8" s="1" t="s">
        <v>71</v>
      </c>
    </row>
    <row r="9" spans="1:4" x14ac:dyDescent="0.3">
      <c r="A9" s="1" t="s">
        <v>32</v>
      </c>
      <c r="B9" s="1" t="s">
        <v>33</v>
      </c>
      <c r="C9" s="1" t="s">
        <v>34</v>
      </c>
      <c r="D9" s="1" t="s">
        <v>37</v>
      </c>
    </row>
    <row r="10" spans="1:4" x14ac:dyDescent="0.3">
      <c r="A10" s="1" t="s">
        <v>147</v>
      </c>
      <c r="B10" s="1" t="s">
        <v>148</v>
      </c>
      <c r="C10" s="1" t="s">
        <v>116</v>
      </c>
      <c r="D10" s="1" t="s">
        <v>62</v>
      </c>
    </row>
    <row r="11" spans="1:4" x14ac:dyDescent="0.3">
      <c r="A11" s="1" t="s">
        <v>58</v>
      </c>
      <c r="B11" s="1" t="s">
        <v>59</v>
      </c>
      <c r="C11" s="1" t="s">
        <v>34</v>
      </c>
      <c r="D11" s="1" t="s">
        <v>62</v>
      </c>
    </row>
    <row r="12" spans="1:4" x14ac:dyDescent="0.3">
      <c r="A12" s="1" t="s">
        <v>67</v>
      </c>
      <c r="B12" s="1" t="s">
        <v>68</v>
      </c>
      <c r="C12" s="1" t="s">
        <v>45</v>
      </c>
      <c r="D12" s="1" t="s">
        <v>71</v>
      </c>
    </row>
    <row r="13" spans="1:4" x14ac:dyDescent="0.3">
      <c r="A13" s="1" t="s">
        <v>107</v>
      </c>
      <c r="B13" s="1" t="s">
        <v>108</v>
      </c>
      <c r="C13" s="1" t="s">
        <v>34</v>
      </c>
      <c r="D13" s="1" t="s">
        <v>62</v>
      </c>
    </row>
    <row r="14" spans="1:4" x14ac:dyDescent="0.3">
      <c r="A14" s="1" t="s">
        <v>98</v>
      </c>
      <c r="B14" s="1" t="s">
        <v>99</v>
      </c>
      <c r="C14" s="1" t="s">
        <v>34</v>
      </c>
      <c r="D14" s="1" t="s">
        <v>71</v>
      </c>
    </row>
    <row r="15" spans="1:4" x14ac:dyDescent="0.3">
      <c r="A15" s="1" t="s">
        <v>43</v>
      </c>
      <c r="B15" s="1" t="s">
        <v>44</v>
      </c>
      <c r="C15" s="1" t="s">
        <v>45</v>
      </c>
      <c r="D15" s="1" t="s">
        <v>37</v>
      </c>
    </row>
    <row r="16" spans="1:4" x14ac:dyDescent="0.3">
      <c r="A16" s="1" t="s">
        <v>125</v>
      </c>
      <c r="B16" s="1" t="s">
        <v>126</v>
      </c>
      <c r="C16" s="1" t="s">
        <v>34</v>
      </c>
      <c r="D16" s="1" t="s">
        <v>37</v>
      </c>
    </row>
    <row r="17" spans="1:4" x14ac:dyDescent="0.3">
      <c r="A17" s="1" t="s">
        <v>80</v>
      </c>
      <c r="B17" s="1" t="s">
        <v>81</v>
      </c>
      <c r="C17" s="1" t="s">
        <v>34</v>
      </c>
      <c r="D17" s="1" t="s">
        <v>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showGridLines="0" workbookViewId="0">
      <pane ySplit="1" topLeftCell="A2" activePane="bottomLeft" state="frozen"/>
      <selection pane="bottomLeft" activeCell="D1" sqref="D1"/>
    </sheetView>
  </sheetViews>
  <sheetFormatPr defaultRowHeight="14.4" x14ac:dyDescent="0.3"/>
  <cols>
    <col min="1" max="1" width="18" customWidth="1"/>
    <col min="2" max="2" width="50" customWidth="1"/>
    <col min="3" max="3" width="20" customWidth="1"/>
    <col min="4" max="4" width="18" customWidth="1"/>
  </cols>
  <sheetData>
    <row r="1" spans="1:4" x14ac:dyDescent="0.3">
      <c r="A1" s="6" t="s">
        <v>12</v>
      </c>
      <c r="B1" s="6" t="s">
        <v>15</v>
      </c>
      <c r="C1" s="6" t="s">
        <v>13</v>
      </c>
      <c r="D1" s="6" t="s">
        <v>14</v>
      </c>
    </row>
    <row r="2" spans="1:4" x14ac:dyDescent="0.3">
      <c r="A2" s="1" t="s">
        <v>93</v>
      </c>
      <c r="B2" s="1" t="s">
        <v>95</v>
      </c>
      <c r="C2" s="1" t="s">
        <v>73</v>
      </c>
      <c r="D2" s="1" t="s">
        <v>94</v>
      </c>
    </row>
    <row r="3" spans="1:4" x14ac:dyDescent="0.3">
      <c r="A3" s="1" t="s">
        <v>102</v>
      </c>
      <c r="B3" s="1" t="s">
        <v>103</v>
      </c>
      <c r="C3" s="1" t="s">
        <v>73</v>
      </c>
      <c r="D3" s="1" t="s">
        <v>74</v>
      </c>
    </row>
    <row r="4" spans="1:4" x14ac:dyDescent="0.3">
      <c r="A4" s="1" t="s">
        <v>172</v>
      </c>
      <c r="B4" s="1" t="s">
        <v>173</v>
      </c>
      <c r="C4" s="1" t="s">
        <v>73</v>
      </c>
      <c r="D4" s="1" t="s">
        <v>74</v>
      </c>
    </row>
    <row r="5" spans="1:4" x14ac:dyDescent="0.3">
      <c r="A5" s="1" t="s">
        <v>72</v>
      </c>
      <c r="B5" s="1" t="s">
        <v>75</v>
      </c>
      <c r="C5" s="1" t="s">
        <v>73</v>
      </c>
      <c r="D5" s="1" t="s">
        <v>74</v>
      </c>
    </row>
    <row r="6" spans="1:4" x14ac:dyDescent="0.3">
      <c r="A6" s="1" t="s">
        <v>177</v>
      </c>
      <c r="B6" s="1" t="s">
        <v>178</v>
      </c>
      <c r="C6" s="1" t="s">
        <v>73</v>
      </c>
      <c r="D6" s="1" t="s">
        <v>74</v>
      </c>
    </row>
    <row r="7" spans="1:4" x14ac:dyDescent="0.3">
      <c r="A7" s="1" t="s">
        <v>179</v>
      </c>
      <c r="B7" s="1" t="s">
        <v>180</v>
      </c>
      <c r="C7" s="1" t="s">
        <v>73</v>
      </c>
      <c r="D7" s="1" t="s">
        <v>74</v>
      </c>
    </row>
    <row r="8" spans="1:4" x14ac:dyDescent="0.3">
      <c r="A8" s="1" t="s">
        <v>84</v>
      </c>
      <c r="B8" s="1" t="s">
        <v>86</v>
      </c>
      <c r="C8" s="1" t="s">
        <v>73</v>
      </c>
      <c r="D8" s="1" t="s">
        <v>85</v>
      </c>
    </row>
    <row r="9" spans="1:4" x14ac:dyDescent="0.3">
      <c r="A9" s="1" t="s">
        <v>127</v>
      </c>
      <c r="B9" s="1" t="s">
        <v>129</v>
      </c>
      <c r="C9" s="1" t="s">
        <v>39</v>
      </c>
      <c r="D9" s="1" t="s">
        <v>128</v>
      </c>
    </row>
    <row r="10" spans="1:4" x14ac:dyDescent="0.3">
      <c r="A10" s="1" t="s">
        <v>181</v>
      </c>
      <c r="B10" s="1" t="s">
        <v>182</v>
      </c>
      <c r="C10" s="1" t="s">
        <v>39</v>
      </c>
      <c r="D10" s="1" t="s">
        <v>64</v>
      </c>
    </row>
    <row r="11" spans="1:4" x14ac:dyDescent="0.3">
      <c r="A11" s="1" t="s">
        <v>76</v>
      </c>
      <c r="B11" s="1" t="s">
        <v>77</v>
      </c>
      <c r="C11" s="1" t="s">
        <v>39</v>
      </c>
      <c r="D11" s="1" t="s">
        <v>64</v>
      </c>
    </row>
    <row r="12" spans="1:4" x14ac:dyDescent="0.3">
      <c r="A12" s="1" t="s">
        <v>63</v>
      </c>
      <c r="B12" s="1" t="s">
        <v>65</v>
      </c>
      <c r="C12" s="1" t="s">
        <v>39</v>
      </c>
      <c r="D12" s="1" t="s">
        <v>64</v>
      </c>
    </row>
    <row r="13" spans="1:4" x14ac:dyDescent="0.3">
      <c r="A13" s="1" t="s">
        <v>104</v>
      </c>
      <c r="B13" s="1" t="s">
        <v>105</v>
      </c>
      <c r="C13" s="1" t="s">
        <v>39</v>
      </c>
      <c r="D13" s="1" t="s">
        <v>64</v>
      </c>
    </row>
    <row r="14" spans="1:4" x14ac:dyDescent="0.3">
      <c r="A14" s="1" t="s">
        <v>135</v>
      </c>
      <c r="B14" s="1" t="s">
        <v>136</v>
      </c>
      <c r="C14" s="1" t="s">
        <v>39</v>
      </c>
      <c r="D14" s="1" t="s">
        <v>64</v>
      </c>
    </row>
    <row r="15" spans="1:4" x14ac:dyDescent="0.3">
      <c r="A15" s="1" t="s">
        <v>142</v>
      </c>
      <c r="B15" s="1" t="s">
        <v>143</v>
      </c>
      <c r="C15" s="1" t="s">
        <v>39</v>
      </c>
      <c r="D15" s="1" t="s">
        <v>49</v>
      </c>
    </row>
    <row r="16" spans="1:4" x14ac:dyDescent="0.3">
      <c r="A16" s="1" t="s">
        <v>111</v>
      </c>
      <c r="B16" s="1" t="s">
        <v>112</v>
      </c>
      <c r="C16" s="1" t="s">
        <v>39</v>
      </c>
      <c r="D16" s="1" t="s">
        <v>49</v>
      </c>
    </row>
    <row r="17" spans="1:4" x14ac:dyDescent="0.3">
      <c r="A17" s="1" t="s">
        <v>48</v>
      </c>
      <c r="B17" s="1" t="s">
        <v>50</v>
      </c>
      <c r="C17" s="1" t="s">
        <v>39</v>
      </c>
      <c r="D17" s="1" t="s">
        <v>49</v>
      </c>
    </row>
    <row r="18" spans="1:4" x14ac:dyDescent="0.3">
      <c r="A18" s="1" t="s">
        <v>119</v>
      </c>
      <c r="B18" s="1" t="s">
        <v>120</v>
      </c>
      <c r="C18" s="1" t="s">
        <v>39</v>
      </c>
      <c r="D18" s="1" t="s">
        <v>49</v>
      </c>
    </row>
    <row r="19" spans="1:4" x14ac:dyDescent="0.3">
      <c r="A19" s="1" t="s">
        <v>183</v>
      </c>
      <c r="B19" s="1" t="s">
        <v>184</v>
      </c>
      <c r="C19" s="1" t="s">
        <v>39</v>
      </c>
      <c r="D19" s="1" t="s">
        <v>49</v>
      </c>
    </row>
    <row r="20" spans="1:4" x14ac:dyDescent="0.3">
      <c r="A20" s="1" t="s">
        <v>144</v>
      </c>
      <c r="B20" s="1" t="s">
        <v>145</v>
      </c>
      <c r="C20" s="1" t="s">
        <v>39</v>
      </c>
      <c r="D20" s="1" t="s">
        <v>49</v>
      </c>
    </row>
    <row r="21" spans="1:4" x14ac:dyDescent="0.3">
      <c r="A21" s="1" t="s">
        <v>121</v>
      </c>
      <c r="B21" s="1" t="s">
        <v>123</v>
      </c>
      <c r="C21" s="1" t="s">
        <v>39</v>
      </c>
      <c r="D21" s="1" t="s">
        <v>122</v>
      </c>
    </row>
    <row r="22" spans="1:4" x14ac:dyDescent="0.3">
      <c r="A22" s="1" t="s">
        <v>150</v>
      </c>
      <c r="B22" s="1" t="s">
        <v>151</v>
      </c>
      <c r="C22" s="1" t="s">
        <v>39</v>
      </c>
      <c r="D22" s="1" t="s">
        <v>52</v>
      </c>
    </row>
    <row r="23" spans="1:4" x14ac:dyDescent="0.3">
      <c r="A23" s="1" t="s">
        <v>51</v>
      </c>
      <c r="B23" s="1" t="s">
        <v>53</v>
      </c>
      <c r="C23" s="1" t="s">
        <v>39</v>
      </c>
      <c r="D23" s="1" t="s">
        <v>52</v>
      </c>
    </row>
    <row r="24" spans="1:4" x14ac:dyDescent="0.3">
      <c r="A24" s="1" t="s">
        <v>38</v>
      </c>
      <c r="B24" s="1" t="s">
        <v>41</v>
      </c>
      <c r="C24" s="1" t="s">
        <v>39</v>
      </c>
      <c r="D24" s="1" t="s">
        <v>40</v>
      </c>
    </row>
    <row r="25" spans="1:4" x14ac:dyDescent="0.3">
      <c r="A25" s="1" t="s">
        <v>158</v>
      </c>
      <c r="B25" s="1" t="s">
        <v>159</v>
      </c>
      <c r="C25" s="1" t="s">
        <v>39</v>
      </c>
      <c r="D25" s="1" t="s">
        <v>40</v>
      </c>
    </row>
    <row r="26" spans="1:4" x14ac:dyDescent="0.3">
      <c r="A26" s="1" t="s">
        <v>185</v>
      </c>
      <c r="B26" s="1" t="s">
        <v>186</v>
      </c>
      <c r="C26" s="1" t="s">
        <v>39</v>
      </c>
      <c r="D26" s="1" t="s">
        <v>55</v>
      </c>
    </row>
    <row r="27" spans="1:4" x14ac:dyDescent="0.3">
      <c r="A27" s="1" t="s">
        <v>187</v>
      </c>
      <c r="B27" s="1" t="s">
        <v>188</v>
      </c>
      <c r="C27" s="1" t="s">
        <v>39</v>
      </c>
      <c r="D27" s="1" t="s">
        <v>55</v>
      </c>
    </row>
    <row r="28" spans="1:4" x14ac:dyDescent="0.3">
      <c r="A28" s="1" t="s">
        <v>152</v>
      </c>
      <c r="B28" s="1" t="s">
        <v>153</v>
      </c>
      <c r="C28" s="1" t="s">
        <v>39</v>
      </c>
      <c r="D28" s="1" t="s">
        <v>55</v>
      </c>
    </row>
    <row r="29" spans="1:4" x14ac:dyDescent="0.3">
      <c r="A29" s="1" t="s">
        <v>54</v>
      </c>
      <c r="B29" s="1" t="s">
        <v>56</v>
      </c>
      <c r="C29" s="1" t="s">
        <v>39</v>
      </c>
      <c r="D29" s="1" t="s">
        <v>55</v>
      </c>
    </row>
    <row r="30" spans="1:4" x14ac:dyDescent="0.3">
      <c r="A30" s="1" t="s">
        <v>160</v>
      </c>
      <c r="B30" s="1" t="s">
        <v>162</v>
      </c>
      <c r="C30" s="1" t="s">
        <v>39</v>
      </c>
      <c r="D30" s="1" t="s">
        <v>161</v>
      </c>
    </row>
    <row r="31" spans="1:4" x14ac:dyDescent="0.3">
      <c r="A31" s="1" t="s">
        <v>163</v>
      </c>
      <c r="B31" s="1" t="s">
        <v>166</v>
      </c>
      <c r="C31" s="1" t="s">
        <v>164</v>
      </c>
      <c r="D31" s="1" t="s">
        <v>165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7"/>
  <sheetViews>
    <sheetView showGridLines="0" workbookViewId="0">
      <pane ySplit="3" topLeftCell="A4" activePane="bottomLeft" state="frozen"/>
      <selection pane="bottomLeft" activeCell="C6" sqref="C6"/>
    </sheetView>
  </sheetViews>
  <sheetFormatPr defaultRowHeight="14.4" x14ac:dyDescent="0.3"/>
  <cols>
    <col min="1" max="1" width="22" customWidth="1"/>
    <col min="2" max="2" width="30" customWidth="1"/>
    <col min="3" max="3" width="65" customWidth="1"/>
    <col min="4" max="4" width="20" customWidth="1"/>
    <col min="5" max="5" width="48" customWidth="1"/>
    <col min="6" max="6" width="50" customWidth="1"/>
  </cols>
  <sheetData>
    <row r="1" spans="1:6" ht="28.05" customHeight="1" x14ac:dyDescent="0.3">
      <c r="A1" s="15" t="s">
        <v>189</v>
      </c>
      <c r="B1" s="16"/>
      <c r="C1" s="16"/>
      <c r="D1" s="16"/>
      <c r="E1" s="16"/>
      <c r="F1" s="16"/>
    </row>
    <row r="3" spans="1:6" x14ac:dyDescent="0.3">
      <c r="A3" s="7" t="s">
        <v>190</v>
      </c>
      <c r="B3" s="7" t="s">
        <v>191</v>
      </c>
      <c r="C3" s="7" t="s">
        <v>192</v>
      </c>
      <c r="D3" s="7" t="s">
        <v>193</v>
      </c>
      <c r="E3" s="7" t="s">
        <v>194</v>
      </c>
      <c r="F3" s="7" t="s">
        <v>195</v>
      </c>
    </row>
    <row r="4" spans="1:6" ht="28.8" x14ac:dyDescent="0.3">
      <c r="A4" s="8" t="s">
        <v>196</v>
      </c>
      <c r="B4" s="9" t="s">
        <v>32</v>
      </c>
      <c r="C4" s="8" t="str">
        <f>VLOOKUP(B4,Customer_Lookup!$A$2:$D$17,2,FALSE)</f>
        <v>Darren Powers</v>
      </c>
      <c r="D4" s="8" t="s">
        <v>33</v>
      </c>
      <c r="E4" s="8" t="s">
        <v>197</v>
      </c>
      <c r="F4" s="8" t="s">
        <v>198</v>
      </c>
    </row>
    <row r="5" spans="1:6" ht="28.8" x14ac:dyDescent="0.3">
      <c r="A5" s="8" t="s">
        <v>199</v>
      </c>
      <c r="B5" s="9" t="s">
        <v>38</v>
      </c>
      <c r="C5" s="8" t="e">
        <f ca="1">XLOOKUP(B5,Product_Lookup!$A$2:$A$31,Product_Lookup!$C$2:$C$31,"Not Found")</f>
        <v>#NAME?</v>
      </c>
      <c r="D5" s="8" t="s">
        <v>39</v>
      </c>
      <c r="E5" s="8" t="s">
        <v>200</v>
      </c>
      <c r="F5" s="8" t="s">
        <v>201</v>
      </c>
    </row>
    <row r="6" spans="1:6" x14ac:dyDescent="0.3">
      <c r="A6" s="8" t="s">
        <v>202</v>
      </c>
      <c r="B6" s="8" t="s">
        <v>203</v>
      </c>
      <c r="C6" s="8" t="str">
        <f>IF(Transactions!S2&gt;=0,"Profit","Loss")</f>
        <v>Profit</v>
      </c>
      <c r="D6" s="8" t="s">
        <v>19</v>
      </c>
      <c r="E6" s="8" t="s">
        <v>204</v>
      </c>
      <c r="F6" s="8" t="s">
        <v>205</v>
      </c>
    </row>
    <row r="7" spans="1:6" x14ac:dyDescent="0.3">
      <c r="A7" s="8" t="s">
        <v>206</v>
      </c>
      <c r="B7" s="9" t="s">
        <v>39</v>
      </c>
      <c r="C7" s="8">
        <f>SUMIF(Transactions!$M$2:$M$31,B7,Transactions!$P$2:$P$31)</f>
        <v>1509.1200000000001</v>
      </c>
      <c r="D7" s="8">
        <v>1509.12</v>
      </c>
      <c r="E7" s="8" t="s">
        <v>207</v>
      </c>
      <c r="F7" s="8" t="s">
        <v>208</v>
      </c>
    </row>
    <row r="8" spans="1:6" ht="28.8" x14ac:dyDescent="0.3">
      <c r="A8" s="8" t="s">
        <v>209</v>
      </c>
      <c r="B8" s="9" t="s">
        <v>92</v>
      </c>
      <c r="C8" s="9">
        <f>SUMIFS(Transactions!$P$2:$P$31,Transactions!$K$2:$K$31,B8,Transactions!$M$2:$M$31,"Office Supplies")</f>
        <v>596.03800000000001</v>
      </c>
      <c r="D8" s="8">
        <v>596.04</v>
      </c>
      <c r="E8" s="8" t="s">
        <v>210</v>
      </c>
      <c r="F8" s="8" t="s">
        <v>211</v>
      </c>
    </row>
    <row r="9" spans="1:6" ht="28.8" x14ac:dyDescent="0.3">
      <c r="A9" s="8" t="s">
        <v>212</v>
      </c>
      <c r="B9" s="9" t="s">
        <v>34</v>
      </c>
      <c r="C9" s="8">
        <f>COUNTIF(Transactions!$H$2:$H$31,B9)</f>
        <v>14</v>
      </c>
      <c r="D9" s="8">
        <v>14</v>
      </c>
      <c r="E9" s="8" t="s">
        <v>213</v>
      </c>
      <c r="F9" s="8" t="s">
        <v>214</v>
      </c>
    </row>
    <row r="10" spans="1:6" ht="28.8" x14ac:dyDescent="0.3">
      <c r="A10" s="8" t="s">
        <v>215</v>
      </c>
      <c r="B10" s="8" t="s">
        <v>216</v>
      </c>
      <c r="C10" s="8">
        <f>COUNTIFS(Transactions!$R$2:$R$31,"&gt;=70%",Transactions!$S$2:$S$31,"&lt;0")</f>
        <v>3</v>
      </c>
      <c r="D10" s="8">
        <v>3</v>
      </c>
      <c r="E10" s="8" t="s">
        <v>217</v>
      </c>
      <c r="F10" s="8" t="s">
        <v>218</v>
      </c>
    </row>
    <row r="11" spans="1:6" ht="28.8" x14ac:dyDescent="0.3">
      <c r="A11" s="8" t="s">
        <v>219</v>
      </c>
      <c r="B11" s="8" t="s">
        <v>220</v>
      </c>
      <c r="C11" s="8" t="str">
        <f>LEFT(Transactions!B2,2)</f>
        <v>US</v>
      </c>
      <c r="D11" s="8" t="s">
        <v>221</v>
      </c>
      <c r="E11" s="8" t="s">
        <v>222</v>
      </c>
      <c r="F11" s="8" t="s">
        <v>223</v>
      </c>
    </row>
    <row r="12" spans="1:6" x14ac:dyDescent="0.3">
      <c r="A12" s="8" t="s">
        <v>224</v>
      </c>
      <c r="B12" s="8" t="s">
        <v>225</v>
      </c>
      <c r="C12" s="8" t="str">
        <f>MID(Transactions!B2,4,4)</f>
        <v>2023</v>
      </c>
      <c r="D12" s="8" t="s">
        <v>226</v>
      </c>
      <c r="E12" s="8" t="s">
        <v>227</v>
      </c>
      <c r="F12" s="8" t="s">
        <v>228</v>
      </c>
    </row>
    <row r="13" spans="1:6" x14ac:dyDescent="0.3">
      <c r="A13" s="8" t="s">
        <v>229</v>
      </c>
      <c r="B13" s="8" t="s">
        <v>230</v>
      </c>
      <c r="C13" s="8" t="str">
        <f>RIGHT(Transactions!B2,6)</f>
        <v>103800</v>
      </c>
      <c r="D13" s="8" t="s">
        <v>231</v>
      </c>
      <c r="E13" s="8" t="s">
        <v>232</v>
      </c>
      <c r="F13" s="8" t="s">
        <v>233</v>
      </c>
    </row>
    <row r="14" spans="1:6" x14ac:dyDescent="0.3">
      <c r="A14" s="8" t="s">
        <v>234</v>
      </c>
      <c r="B14" s="8" t="s">
        <v>235</v>
      </c>
      <c r="C14" s="8">
        <f>LEN(Transactions!G2)</f>
        <v>13</v>
      </c>
      <c r="D14" s="8">
        <v>13</v>
      </c>
      <c r="E14" s="8" t="s">
        <v>236</v>
      </c>
      <c r="F14" s="8" t="s">
        <v>237</v>
      </c>
    </row>
    <row r="15" spans="1:6" x14ac:dyDescent="0.3">
      <c r="A15" s="8" t="s">
        <v>238</v>
      </c>
      <c r="B15" s="8" t="s">
        <v>239</v>
      </c>
      <c r="C15" s="8" t="str">
        <f>TRIM("  Data Analyst  ")</f>
        <v>Data Analyst</v>
      </c>
      <c r="D15" s="8" t="s">
        <v>240</v>
      </c>
      <c r="E15" s="8" t="s">
        <v>241</v>
      </c>
      <c r="F15" s="8" t="s">
        <v>242</v>
      </c>
    </row>
    <row r="16" spans="1:6" ht="28.8" x14ac:dyDescent="0.3">
      <c r="A16" s="8" t="s">
        <v>243</v>
      </c>
      <c r="B16" s="9" t="s">
        <v>32</v>
      </c>
      <c r="C16" s="8" t="str">
        <f>INDEX(Customer_Lookup!$B$2:$B$17,MATCH(B16,Customer_Lookup!$A$2:$A$17,0))</f>
        <v>Darren Powers</v>
      </c>
      <c r="D16" s="8" t="s">
        <v>33</v>
      </c>
      <c r="E16" s="8" t="s">
        <v>244</v>
      </c>
      <c r="F16" s="8" t="s">
        <v>245</v>
      </c>
    </row>
    <row r="17" spans="1:6" ht="28.8" x14ac:dyDescent="0.3">
      <c r="A17" s="8" t="s">
        <v>246</v>
      </c>
      <c r="B17" s="8" t="s">
        <v>247</v>
      </c>
      <c r="C17" s="8" t="str">
        <f ca="1">IFERROR(XLOOKUP("ZZ-99999",Customer_Lookup!$A$2:$A$17,Customer_Lookup!$B$2:$B$17),"Not Found")</f>
        <v>Not Found</v>
      </c>
      <c r="D17" s="8" t="s">
        <v>248</v>
      </c>
      <c r="E17" s="8" t="s">
        <v>249</v>
      </c>
      <c r="F17" s="8" t="s">
        <v>250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showGridLines="0" workbookViewId="0">
      <selection sqref="A1:G1"/>
    </sheetView>
  </sheetViews>
  <sheetFormatPr defaultRowHeight="14.4" x14ac:dyDescent="0.3"/>
  <cols>
    <col min="1" max="1" width="36" customWidth="1"/>
    <col min="2" max="2" width="22" customWidth="1"/>
    <col min="3" max="3" width="58" customWidth="1"/>
    <col min="4" max="4" width="55" customWidth="1"/>
    <col min="6" max="6" width="25" customWidth="1"/>
    <col min="7" max="7" width="35" customWidth="1"/>
  </cols>
  <sheetData>
    <row r="1" spans="1:7" ht="28.05" customHeight="1" x14ac:dyDescent="0.3">
      <c r="A1" s="15" t="s">
        <v>251</v>
      </c>
      <c r="B1" s="16"/>
      <c r="C1" s="16"/>
      <c r="D1" s="16"/>
      <c r="E1" s="16"/>
      <c r="F1" s="16"/>
      <c r="G1" s="16"/>
    </row>
    <row r="3" spans="1:7" x14ac:dyDescent="0.3">
      <c r="A3" s="10" t="s">
        <v>252</v>
      </c>
      <c r="B3" s="10" t="s">
        <v>253</v>
      </c>
      <c r="C3" s="10" t="s">
        <v>254</v>
      </c>
      <c r="D3" s="10" t="s">
        <v>255</v>
      </c>
      <c r="E3" s="6"/>
      <c r="F3" s="10" t="s">
        <v>256</v>
      </c>
      <c r="G3" s="6"/>
    </row>
    <row r="4" spans="1:7" x14ac:dyDescent="0.3">
      <c r="A4" s="1" t="s">
        <v>257</v>
      </c>
      <c r="B4" s="11">
        <v>30</v>
      </c>
      <c r="C4" s="1">
        <f>COUNTA(Transactions!A2:A31)</f>
        <v>30</v>
      </c>
      <c r="D4" s="12" t="s">
        <v>258</v>
      </c>
      <c r="F4" s="1" t="s">
        <v>196</v>
      </c>
      <c r="G4" s="1" t="s">
        <v>259</v>
      </c>
    </row>
    <row r="5" spans="1:7" x14ac:dyDescent="0.3">
      <c r="A5" s="1" t="s">
        <v>260</v>
      </c>
      <c r="B5" s="11">
        <v>16</v>
      </c>
      <c r="C5" s="1">
        <f>SUMPRODUCT(1/COUNTIF(Transactions!F2:F31,Transactions!F2:F31))</f>
        <v>15.999999999999998</v>
      </c>
      <c r="D5" s="12" t="s">
        <v>261</v>
      </c>
      <c r="F5" s="1" t="s">
        <v>199</v>
      </c>
      <c r="G5" s="1" t="s">
        <v>259</v>
      </c>
    </row>
    <row r="6" spans="1:7" x14ac:dyDescent="0.3">
      <c r="A6" s="1" t="s">
        <v>262</v>
      </c>
      <c r="B6" s="4">
        <v>6419.7730000000001</v>
      </c>
      <c r="C6" s="1">
        <f>SUM(PracticeSales)</f>
        <v>6419.7729999999992</v>
      </c>
      <c r="D6" s="12" t="s">
        <v>263</v>
      </c>
      <c r="F6" s="1" t="s">
        <v>202</v>
      </c>
      <c r="G6" s="1" t="s">
        <v>259</v>
      </c>
    </row>
    <row r="7" spans="1:7" x14ac:dyDescent="0.3">
      <c r="A7" s="1" t="s">
        <v>264</v>
      </c>
      <c r="B7" s="4">
        <v>766.08120000000008</v>
      </c>
      <c r="C7" s="1">
        <f>SUM(PracticeProfit)</f>
        <v>766.08119999999997</v>
      </c>
      <c r="D7" s="12" t="s">
        <v>265</v>
      </c>
      <c r="F7" s="1" t="s">
        <v>266</v>
      </c>
      <c r="G7" s="1" t="s">
        <v>259</v>
      </c>
    </row>
    <row r="8" spans="1:7" x14ac:dyDescent="0.3">
      <c r="A8" s="1" t="s">
        <v>267</v>
      </c>
      <c r="B8" s="13">
        <v>0.16833333333333339</v>
      </c>
      <c r="C8" s="1">
        <f>AVERAGE(Transactions!R2:R31)</f>
        <v>0.16833333333333339</v>
      </c>
      <c r="D8" s="12" t="s">
        <v>268</v>
      </c>
      <c r="F8" s="1" t="s">
        <v>269</v>
      </c>
      <c r="G8" s="1" t="s">
        <v>259</v>
      </c>
    </row>
    <row r="9" spans="1:7" x14ac:dyDescent="0.3">
      <c r="A9" s="1" t="s">
        <v>270</v>
      </c>
      <c r="B9" s="11">
        <v>5</v>
      </c>
      <c r="C9" s="1">
        <f>COUNTIF(Transactions!T2:T31,"Loss")</f>
        <v>5</v>
      </c>
      <c r="D9" s="12" t="s">
        <v>271</v>
      </c>
      <c r="F9" s="1" t="s">
        <v>272</v>
      </c>
      <c r="G9" s="1" t="s">
        <v>273</v>
      </c>
    </row>
    <row r="10" spans="1:7" x14ac:dyDescent="0.3">
      <c r="A10" s="1" t="s">
        <v>274</v>
      </c>
      <c r="B10" s="11">
        <v>3</v>
      </c>
      <c r="C10" s="1">
        <f>COUNTIF(Transactions!R2:R31,"&gt;=70%")</f>
        <v>3</v>
      </c>
      <c r="D10" s="12" t="s">
        <v>275</v>
      </c>
      <c r="F10" s="1" t="s">
        <v>276</v>
      </c>
      <c r="G10" s="1" t="s">
        <v>259</v>
      </c>
    </row>
    <row r="11" spans="1:7" x14ac:dyDescent="0.3">
      <c r="A11" s="1" t="s">
        <v>277</v>
      </c>
      <c r="B11" s="11">
        <v>1897.021</v>
      </c>
      <c r="C11" s="1">
        <f>SUMIF(PracticeRegion,"West",PracticeSales)</f>
        <v>1897.0210000000002</v>
      </c>
      <c r="D11" s="12" t="s">
        <v>278</v>
      </c>
      <c r="F11" s="1" t="s">
        <v>279</v>
      </c>
      <c r="G11" s="1" t="s">
        <v>259</v>
      </c>
    </row>
    <row r="14" spans="1:7" x14ac:dyDescent="0.3">
      <c r="A14" s="10" t="s">
        <v>11</v>
      </c>
      <c r="B14" s="10" t="s">
        <v>16</v>
      </c>
      <c r="C14" s="6"/>
      <c r="D14" s="6"/>
      <c r="E14" s="6"/>
      <c r="F14" s="6"/>
      <c r="G14" s="6"/>
    </row>
    <row r="15" spans="1:7" x14ac:dyDescent="0.3">
      <c r="A15" s="1" t="s">
        <v>37</v>
      </c>
      <c r="B15" s="1">
        <v>481.28</v>
      </c>
    </row>
    <row r="16" spans="1:7" x14ac:dyDescent="0.3">
      <c r="A16" s="1" t="s">
        <v>62</v>
      </c>
      <c r="B16" s="1">
        <v>840.19599999999991</v>
      </c>
    </row>
    <row r="17" spans="1:2" x14ac:dyDescent="0.3">
      <c r="A17" s="1" t="s">
        <v>71</v>
      </c>
      <c r="B17" s="1">
        <v>3201.2759999999998</v>
      </c>
    </row>
    <row r="18" spans="1:2" x14ac:dyDescent="0.3">
      <c r="A18" s="1" t="s">
        <v>92</v>
      </c>
      <c r="B18" s="1">
        <v>1897.021</v>
      </c>
    </row>
  </sheetData>
  <mergeCells count="1">
    <mergeCell ref="A1:G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showGridLines="0" tabSelected="1" workbookViewId="0">
      <selection sqref="A1:F1"/>
    </sheetView>
  </sheetViews>
  <sheetFormatPr defaultRowHeight="14.4" x14ac:dyDescent="0.3"/>
  <cols>
    <col min="1" max="1" width="24" customWidth="1"/>
    <col min="2" max="2" width="32" customWidth="1"/>
    <col min="3" max="3" width="28" customWidth="1"/>
    <col min="4" max="4" width="20" customWidth="1"/>
    <col min="5" max="5" width="68" customWidth="1"/>
    <col min="6" max="6" width="12" customWidth="1"/>
  </cols>
  <sheetData>
    <row r="1" spans="1:6" ht="28.05" customHeight="1" x14ac:dyDescent="0.3">
      <c r="A1" s="15" t="s">
        <v>280</v>
      </c>
      <c r="B1" s="16"/>
      <c r="C1" s="16"/>
      <c r="D1" s="16"/>
      <c r="E1" s="16"/>
      <c r="F1" s="16"/>
    </row>
    <row r="3" spans="1:6" x14ac:dyDescent="0.3">
      <c r="A3" s="10" t="s">
        <v>281</v>
      </c>
      <c r="B3" s="10" t="s">
        <v>0</v>
      </c>
      <c r="C3" s="10" t="s">
        <v>282</v>
      </c>
      <c r="D3" s="10" t="s">
        <v>283</v>
      </c>
      <c r="E3" s="10" t="s">
        <v>284</v>
      </c>
      <c r="F3" s="10" t="s">
        <v>285</v>
      </c>
    </row>
    <row r="4" spans="1:6" x14ac:dyDescent="0.3">
      <c r="A4" s="12" t="s">
        <v>286</v>
      </c>
      <c r="B4" s="12" t="s">
        <v>287</v>
      </c>
      <c r="C4" s="12" t="s">
        <v>32</v>
      </c>
      <c r="D4" s="12" t="s">
        <v>33</v>
      </c>
      <c r="E4" s="12" t="str">
        <f>VLOOKUP(C4,Customer_Lookup!$A$2:$D$17,2,FALSE)</f>
        <v>Darren Powers</v>
      </c>
      <c r="F4" s="14" t="s">
        <v>288</v>
      </c>
    </row>
    <row r="5" spans="1:6" ht="28.8" x14ac:dyDescent="0.3">
      <c r="A5" s="12" t="s">
        <v>289</v>
      </c>
      <c r="B5" s="12" t="s">
        <v>290</v>
      </c>
      <c r="C5" s="12" t="s">
        <v>291</v>
      </c>
      <c r="D5" s="12" t="s">
        <v>248</v>
      </c>
      <c r="E5" s="12" t="str">
        <f ca="1">IFERROR(XLOOKUP(C5,Customer_Lookup!$A$2:$A$17,Customer_Lookup!$B$2:$B$17),"Not Found")</f>
        <v>Not Found</v>
      </c>
      <c r="F5" s="14" t="s">
        <v>288</v>
      </c>
    </row>
    <row r="6" spans="1:6" x14ac:dyDescent="0.3">
      <c r="A6" s="12" t="s">
        <v>292</v>
      </c>
      <c r="B6" s="12" t="s">
        <v>293</v>
      </c>
      <c r="C6" s="12" t="s">
        <v>294</v>
      </c>
      <c r="D6" s="12">
        <v>3</v>
      </c>
      <c r="E6" s="12">
        <f>COUNTIFS(Transactions!$R$2:$R$31,"&gt;=70%",Transactions!$S$2:$S$31,"&lt;0")</f>
        <v>3</v>
      </c>
      <c r="F6" s="14" t="s">
        <v>288</v>
      </c>
    </row>
    <row r="7" spans="1:6" x14ac:dyDescent="0.3">
      <c r="A7" s="12" t="s">
        <v>295</v>
      </c>
      <c r="B7" s="12" t="s">
        <v>296</v>
      </c>
      <c r="C7" s="12" t="s">
        <v>30</v>
      </c>
      <c r="D7" s="12" t="s">
        <v>226</v>
      </c>
      <c r="E7" s="12" t="str">
        <f>MID(Transactions!B2,4,4)</f>
        <v>2023</v>
      </c>
      <c r="F7" s="14" t="s">
        <v>288</v>
      </c>
    </row>
    <row r="8" spans="1:6" ht="28.8" x14ac:dyDescent="0.3">
      <c r="A8" s="12" t="s">
        <v>297</v>
      </c>
      <c r="B8" s="12" t="s">
        <v>298</v>
      </c>
      <c r="C8" s="12" t="s">
        <v>299</v>
      </c>
      <c r="D8" s="12" t="s">
        <v>300</v>
      </c>
      <c r="E8" s="12" t="s">
        <v>301</v>
      </c>
      <c r="F8" s="14" t="s">
        <v>288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Transactions</vt:lpstr>
      <vt:lpstr>Customer_Lookup</vt:lpstr>
      <vt:lpstr>Product_Lookup</vt:lpstr>
      <vt:lpstr>Formula_Demo</vt:lpstr>
      <vt:lpstr>Summary</vt:lpstr>
      <vt:lpstr>Validation</vt:lpstr>
      <vt:lpstr>CustomerIDs</vt:lpstr>
      <vt:lpstr>CustomerNames</vt:lpstr>
      <vt:lpstr>PracticeCategory</vt:lpstr>
      <vt:lpstr>PracticeProfit</vt:lpstr>
      <vt:lpstr>PracticeRegion</vt:lpstr>
      <vt:lpstr>PracticeSales</vt:lpstr>
      <vt:lpstr>ProductCategories</vt:lpstr>
      <vt:lpstr>ProductIDs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Vrushali Patil</cp:lastModifiedBy>
  <dcterms:created xsi:type="dcterms:W3CDTF">2026-09-13T12:50:48Z</dcterms:created>
  <dcterms:modified xsi:type="dcterms:W3CDTF">2026-09-13T15:00:16Z</dcterms:modified>
</cp:coreProperties>
</file>